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raj Singhal\Downloads\"/>
    </mc:Choice>
  </mc:AlternateContent>
  <xr:revisionPtr revIDLastSave="0" documentId="13_ncr:1_{A7100A00-C291-4E80-9A3D-DAA46D32D4C3}" xr6:coauthVersionLast="47" xr6:coauthVersionMax="47" xr10:uidLastSave="{00000000-0000-0000-0000-000000000000}"/>
  <bookViews>
    <workbookView xWindow="-108" yWindow="-108" windowWidth="23256" windowHeight="12720" firstSheet="2" activeTab="5" xr2:uid="{00000000-000D-0000-FFFF-FFFF00000000}"/>
  </bookViews>
  <sheets>
    <sheet name="Engagement Analysis Task-2" sheetId="4" r:id="rId1"/>
    <sheet name="Platform Analysis task-3" sheetId="6" r:id="rId2"/>
    <sheet name="Hashtag &amp; Content Strategy T-4" sheetId="7" r:id="rId3"/>
    <sheet name="Campaign Effectiveness T-5" sheetId="8" r:id="rId4"/>
    <sheet name="Follower Retension Task-6" sheetId="9" r:id="rId5"/>
    <sheet name="Posts" sheetId="1" r:id="rId6"/>
    <sheet name="Engagement Summary" sheetId="2" r:id="rId7"/>
    <sheet name="Campaign Metadata" sheetId="3" r:id="rId8"/>
  </sheets>
  <definedNames>
    <definedName name="Slicer_Platform">#N/A</definedName>
  </definedNames>
  <calcPr calcId="191028"/>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3" i="2" l="1"/>
  <c r="D55" i="6"/>
  <c r="D56" i="6"/>
  <c r="D57" i="6"/>
  <c r="D54" i="6"/>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2" i="1"/>
  <c r="J200" i="2"/>
  <c r="J201"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3" i="2"/>
  <c r="J4" i="2"/>
  <c r="J5" i="2"/>
  <c r="J6" i="2"/>
  <c r="J7" i="2"/>
  <c r="J8" i="2"/>
  <c r="J9" i="2"/>
  <c r="J10" i="2"/>
  <c r="J11" i="2"/>
  <c r="J12" i="2"/>
  <c r="J13" i="2"/>
  <c r="J14" i="2"/>
  <c r="J2" i="2"/>
  <c r="C134" i="9"/>
  <c r="B134"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67" i="9"/>
  <c r="A24" i="4" a="1"/>
  <c r="A24" i="4"/>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2" i="1"/>
  <c r="S298" i="1"/>
  <c r="S299" i="1"/>
  <c r="S300" i="1"/>
  <c r="S301"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8" i="1"/>
  <c r="S9" i="1"/>
  <c r="S10" i="1"/>
  <c r="S11" i="1"/>
  <c r="S12" i="1"/>
  <c r="S13" i="1"/>
  <c r="S14" i="1"/>
  <c r="S15" i="1"/>
  <c r="S16" i="1"/>
  <c r="S17" i="1"/>
  <c r="S3" i="1"/>
  <c r="S4" i="1"/>
  <c r="S5" i="1"/>
  <c r="S6" i="1"/>
  <c r="S7" i="1"/>
  <c r="S2" i="1"/>
  <c r="R3" i="1"/>
  <c r="R4" i="1"/>
  <c r="R5" i="1"/>
  <c r="R6" i="1"/>
  <c r="R7" i="1"/>
  <c r="R2" i="1"/>
  <c r="Q2" i="1" a="1"/>
  <c r="Q2" i="1"/>
  <c r="P100" i="1"/>
  <c r="P252" i="1"/>
  <c r="P286" i="1"/>
  <c r="P283" i="1"/>
  <c r="P213" i="1"/>
  <c r="P272" i="1"/>
  <c r="P28" i="1"/>
  <c r="P170" i="1"/>
  <c r="P219" i="1"/>
  <c r="P143" i="1"/>
  <c r="P281" i="1"/>
  <c r="P273" i="1"/>
  <c r="P117" i="1"/>
  <c r="P114" i="1"/>
  <c r="P232" i="1"/>
  <c r="P267" i="1"/>
  <c r="P202" i="1"/>
  <c r="P243" i="1"/>
  <c r="P102" i="1"/>
  <c r="P57" i="1"/>
  <c r="P151" i="1"/>
  <c r="P278" i="1"/>
  <c r="P195" i="1"/>
  <c r="P224" i="1"/>
  <c r="P211" i="1"/>
  <c r="P70" i="1"/>
  <c r="P169" i="1"/>
  <c r="P168" i="1"/>
  <c r="P279" i="1"/>
  <c r="P255" i="1"/>
  <c r="P33" i="1"/>
  <c r="P249" i="1"/>
  <c r="P207" i="1"/>
  <c r="P193" i="1"/>
  <c r="P38" i="1"/>
  <c r="P296" i="1"/>
  <c r="P133" i="1"/>
  <c r="P64" i="1"/>
  <c r="P212" i="1"/>
  <c r="P177" i="1"/>
  <c r="P154" i="1"/>
  <c r="P34" i="1"/>
  <c r="P165" i="1"/>
  <c r="P66" i="1"/>
  <c r="P103" i="1"/>
  <c r="P41" i="1"/>
  <c r="P162" i="1"/>
  <c r="P163" i="1"/>
  <c r="P260" i="1"/>
  <c r="P111" i="1"/>
  <c r="P256" i="1"/>
  <c r="P234" i="1"/>
  <c r="P95" i="1"/>
  <c r="P109" i="1"/>
  <c r="P131" i="1"/>
  <c r="P290" i="1"/>
  <c r="P245" i="1"/>
  <c r="P60" i="1"/>
  <c r="P301" i="1"/>
  <c r="P253" i="1"/>
  <c r="P254" i="1"/>
  <c r="P208" i="1"/>
  <c r="P119" i="1"/>
  <c r="P268" i="1"/>
  <c r="P101" i="1"/>
  <c r="P146" i="1"/>
  <c r="P99" i="1"/>
  <c r="P42" i="1"/>
  <c r="P55" i="1"/>
  <c r="P192" i="1"/>
  <c r="P175" i="1"/>
  <c r="P86" i="1"/>
  <c r="P275" i="1"/>
  <c r="P277" i="1"/>
  <c r="P158" i="1"/>
  <c r="P174" i="1"/>
  <c r="P288" i="1"/>
  <c r="P274" i="1"/>
  <c r="P239" i="1"/>
  <c r="P235" i="1"/>
  <c r="P196" i="1"/>
  <c r="P206" i="1"/>
  <c r="P166" i="1"/>
  <c r="P50" i="1"/>
  <c r="P222" i="1"/>
  <c r="P53" i="1"/>
  <c r="P153" i="1"/>
  <c r="P135" i="1"/>
  <c r="P132" i="1"/>
  <c r="P276" i="1"/>
  <c r="P270" i="1"/>
  <c r="P138" i="1"/>
  <c r="P106" i="1"/>
  <c r="P251" i="1"/>
  <c r="P159" i="1"/>
  <c r="P108" i="1"/>
  <c r="P265" i="1"/>
  <c r="P123" i="1"/>
  <c r="P264" i="1"/>
  <c r="P282" i="1"/>
  <c r="P128" i="1"/>
  <c r="P295" i="1"/>
  <c r="P187" i="1"/>
  <c r="P262" i="1"/>
  <c r="P227" i="1"/>
  <c r="P40" i="1"/>
  <c r="P52" i="1"/>
  <c r="P269" i="1"/>
  <c r="P198" i="1"/>
  <c r="P105" i="1"/>
  <c r="P69" i="1"/>
  <c r="P77" i="1"/>
  <c r="P250" i="1"/>
  <c r="P67" i="1"/>
  <c r="P173" i="1"/>
  <c r="P79" i="1"/>
  <c r="P259" i="1"/>
  <c r="P46" i="1"/>
  <c r="P238" i="1"/>
  <c r="P300" i="1"/>
  <c r="P183" i="1"/>
  <c r="P139" i="1"/>
  <c r="P225" i="1"/>
  <c r="P266" i="1"/>
  <c r="P167" i="1"/>
  <c r="P58" i="1"/>
  <c r="P271" i="1"/>
  <c r="P93" i="1"/>
  <c r="P230" i="1"/>
  <c r="P292" i="1"/>
  <c r="P248" i="1"/>
  <c r="P152" i="1"/>
  <c r="P285" i="1"/>
  <c r="P240" i="1"/>
  <c r="P136" i="1"/>
  <c r="P80" i="1"/>
  <c r="P289" i="1"/>
  <c r="P120" i="1"/>
  <c r="P199" i="1"/>
  <c r="P188" i="1"/>
  <c r="P161" i="1"/>
  <c r="P189" i="1"/>
  <c r="P214" i="1"/>
  <c r="P129" i="1"/>
  <c r="P221" i="1"/>
  <c r="P287" i="1"/>
  <c r="P215" i="1"/>
  <c r="P26" i="1"/>
  <c r="P90" i="1"/>
  <c r="P125" i="1"/>
  <c r="P205" i="1"/>
  <c r="P280" i="1"/>
  <c r="P190" i="1"/>
  <c r="P127" i="1"/>
  <c r="P241" i="1"/>
  <c r="P171" i="1"/>
  <c r="P294" i="1"/>
  <c r="P218" i="1"/>
  <c r="P48" i="1"/>
  <c r="P104" i="1"/>
  <c r="P229" i="1"/>
  <c r="P76" i="1"/>
  <c r="P178" i="1"/>
  <c r="P299" i="1"/>
  <c r="P21" i="1"/>
  <c r="P112" i="1"/>
  <c r="P71" i="1"/>
  <c r="P204" i="1"/>
  <c r="P44" i="1"/>
  <c r="P116" i="1"/>
  <c r="P113" i="1"/>
  <c r="P246" i="1"/>
  <c r="P94" i="1"/>
  <c r="P59" i="1"/>
  <c r="P242" i="1"/>
  <c r="P157" i="1"/>
  <c r="P228" i="1"/>
  <c r="P197" i="1"/>
  <c r="P47" i="1"/>
  <c r="P209" i="1"/>
  <c r="P247" i="1"/>
  <c r="P19" i="1"/>
  <c r="P122" i="1"/>
  <c r="P32" i="1"/>
  <c r="P257" i="1"/>
  <c r="P134" i="1"/>
  <c r="P82" i="1"/>
  <c r="P284" i="1"/>
  <c r="P72" i="1"/>
  <c r="P78" i="1"/>
  <c r="P87" i="1"/>
  <c r="P35" i="1"/>
  <c r="P144" i="1"/>
  <c r="P150" i="1"/>
  <c r="P75" i="1"/>
  <c r="P231" i="1"/>
  <c r="P180" i="1"/>
  <c r="P126" i="1"/>
  <c r="P142" i="1"/>
  <c r="P137" i="1"/>
  <c r="P25" i="1"/>
  <c r="P89" i="1"/>
  <c r="P43" i="1"/>
  <c r="P148" i="1"/>
  <c r="P263" i="1"/>
  <c r="P62" i="1"/>
  <c r="P81" i="1"/>
  <c r="P61" i="1"/>
  <c r="P45" i="1"/>
  <c r="P258" i="1"/>
  <c r="P97" i="1"/>
  <c r="P244" i="1"/>
  <c r="P49" i="1"/>
  <c r="P210" i="1"/>
  <c r="P298" i="1"/>
  <c r="P141" i="1"/>
  <c r="P147" i="1"/>
  <c r="P63" i="1"/>
  <c r="P293" i="1"/>
  <c r="P233" i="1"/>
  <c r="P216" i="1"/>
  <c r="P140" i="1"/>
  <c r="P115" i="1"/>
  <c r="P14" i="1"/>
  <c r="P297" i="1"/>
  <c r="P179" i="1"/>
  <c r="P18" i="1"/>
  <c r="P31" i="1"/>
  <c r="P156" i="1"/>
  <c r="P83" i="1"/>
  <c r="P181" i="1"/>
  <c r="P176" i="1"/>
  <c r="P124" i="1"/>
  <c r="P201" i="1"/>
  <c r="P20" i="1"/>
  <c r="P223" i="1"/>
  <c r="P54" i="1"/>
  <c r="P261" i="1"/>
  <c r="P236" i="1"/>
  <c r="P39" i="1"/>
  <c r="P226" i="1"/>
  <c r="P30" i="1"/>
  <c r="P185" i="1"/>
  <c r="P96" i="1"/>
  <c r="P160" i="1"/>
  <c r="P291" i="1"/>
  <c r="P164" i="1"/>
  <c r="P84" i="1"/>
  <c r="P15" i="1"/>
  <c r="P172" i="1"/>
  <c r="P237" i="1"/>
  <c r="P92" i="1"/>
  <c r="P13" i="1"/>
  <c r="P56" i="1"/>
  <c r="P36" i="1"/>
  <c r="P98" i="1"/>
  <c r="P107" i="1"/>
  <c r="P51" i="1"/>
  <c r="P182" i="1"/>
  <c r="P184" i="1"/>
  <c r="P88" i="1"/>
  <c r="P74" i="1"/>
  <c r="P217" i="1"/>
  <c r="P118" i="1"/>
  <c r="P12" i="1"/>
  <c r="P220" i="1"/>
  <c r="P10" i="1"/>
  <c r="P16" i="1"/>
  <c r="P17" i="1"/>
  <c r="P130" i="1"/>
  <c r="P200" i="1"/>
  <c r="P65" i="1"/>
  <c r="P37" i="1"/>
  <c r="P186" i="1"/>
  <c r="P155" i="1"/>
  <c r="P73" i="1"/>
  <c r="P27" i="1"/>
  <c r="P2" i="1"/>
  <c r="P11" i="1"/>
  <c r="P68" i="1"/>
  <c r="P23" i="1"/>
  <c r="P6" i="1"/>
  <c r="P194" i="1"/>
  <c r="P3" i="1"/>
  <c r="P4" i="1"/>
  <c r="P203" i="1"/>
  <c r="P5" i="1"/>
  <c r="P145" i="1"/>
  <c r="P29" i="1"/>
  <c r="P22" i="1"/>
  <c r="P24" i="1"/>
  <c r="P121" i="1"/>
  <c r="P85" i="1"/>
  <c r="P9" i="1"/>
  <c r="P149" i="1"/>
  <c r="P191" i="1"/>
  <c r="P110" i="1"/>
  <c r="P8" i="1"/>
  <c r="P7" i="1"/>
  <c r="P91" i="1"/>
  <c r="I3" i="2"/>
  <c r="I4" i="2"/>
  <c r="I5" i="2"/>
  <c r="I6" i="2"/>
  <c r="I7" i="2"/>
  <c r="I8" i="2"/>
  <c r="I9" i="2"/>
  <c r="I10" i="2"/>
  <c r="I11" i="2"/>
  <c r="I12"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F58" i="8"/>
  <c r="F55" i="8"/>
  <c r="F56" i="8"/>
  <c r="F57" i="8"/>
  <c r="F54" i="8"/>
  <c r="E55" i="8"/>
  <c r="E56" i="8"/>
  <c r="E57" i="8"/>
  <c r="E58" i="8"/>
  <c r="E54" i="8"/>
  <c r="F33" i="8"/>
  <c r="F34" i="8"/>
  <c r="F35" i="8"/>
  <c r="F36" i="8"/>
  <c r="F32" i="8"/>
  <c r="E30" i="7" a="1"/>
  <c r="E30" i="7"/>
  <c r="E31" i="7" a="1"/>
  <c r="E31" i="7"/>
  <c r="E32" i="7" a="1"/>
  <c r="E32" i="7"/>
  <c r="E33" i="7" a="1"/>
  <c r="E33" i="7" s="1"/>
  <c r="E34" i="7" a="1"/>
  <c r="E34" i="7" s="1"/>
  <c r="D30" i="7" a="1"/>
  <c r="D30" i="7" s="1"/>
  <c r="D31" i="7" a="1"/>
  <c r="D31" i="7" s="1"/>
  <c r="D32" i="7" a="1"/>
  <c r="D32" i="7" s="1"/>
  <c r="D33" i="7" a="1"/>
  <c r="D33" i="7" s="1"/>
  <c r="D34" i="7" a="1"/>
  <c r="D34" i="7" s="1"/>
  <c r="E29" i="7" a="1"/>
  <c r="E29" i="7" s="1"/>
  <c r="D29" i="7" a="1"/>
  <c r="D29" i="7" s="1"/>
  <c r="C29" i="7" a="1"/>
  <c r="C29" i="7" s="1"/>
  <c r="C30" i="7" a="1"/>
  <c r="C30" i="7" s="1"/>
  <c r="C31" i="7" a="1"/>
  <c r="C31" i="7" s="1"/>
  <c r="C32" i="7" a="1"/>
  <c r="C32" i="7" s="1"/>
  <c r="C33" i="7" a="1"/>
  <c r="C33" i="7" s="1"/>
  <c r="C34" i="7" a="1"/>
  <c r="C34" i="7" s="1"/>
  <c r="B29" i="7" a="1"/>
  <c r="B29" i="7" s="1"/>
  <c r="B30" i="7" a="1"/>
  <c r="B30" i="7" s="1"/>
  <c r="B31" i="7" a="1"/>
  <c r="B31" i="7" s="1"/>
  <c r="B32" i="7" a="1"/>
  <c r="B32" i="7" s="1"/>
  <c r="B33" i="7" a="1"/>
  <c r="B33" i="7" s="1"/>
  <c r="B34" i="7" a="1"/>
  <c r="B34" i="7"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F34" i="7" a="1"/>
  <c r="F34" i="7" s="1"/>
  <c r="G54" i="8" l="1"/>
  <c r="G57" i="8"/>
  <c r="G56" i="8"/>
  <c r="G55" i="8"/>
  <c r="F29" i="7" a="1"/>
  <c r="F29" i="7" s="1"/>
  <c r="F32" i="7" a="1"/>
  <c r="F32" i="7" s="1"/>
  <c r="F31" i="7" a="1"/>
  <c r="F31" i="7" s="1"/>
  <c r="F30" i="7" a="1"/>
  <c r="F30" i="7" s="1"/>
  <c r="F33" i="7" a="1"/>
  <c r="F33" i="7" s="1"/>
  <c r="Q7" i="1"/>
  <c r="Q6" i="1"/>
  <c r="Q5" i="1"/>
  <c r="Q4" i="1"/>
  <c r="Q3" i="1"/>
  <c r="P33" i="4"/>
  <c r="O33" i="4"/>
  <c r="N33" i="4"/>
  <c r="M33" i="4"/>
  <c r="L33" i="4"/>
  <c r="K33" i="4"/>
  <c r="J33" i="4"/>
  <c r="I33" i="4"/>
  <c r="H33" i="4"/>
  <c r="G33" i="4"/>
  <c r="F33" i="4"/>
  <c r="E33" i="4"/>
  <c r="D33" i="4"/>
  <c r="C33" i="4"/>
  <c r="B33" i="4"/>
  <c r="A33" i="4"/>
  <c r="P32" i="4"/>
  <c r="O32" i="4"/>
  <c r="N32" i="4"/>
  <c r="M32" i="4"/>
  <c r="L32" i="4"/>
  <c r="K32" i="4"/>
  <c r="J32" i="4"/>
  <c r="I32" i="4"/>
  <c r="H32" i="4"/>
  <c r="G32" i="4"/>
  <c r="F32" i="4"/>
  <c r="E32" i="4"/>
  <c r="D32" i="4"/>
  <c r="C32" i="4"/>
  <c r="B32" i="4"/>
  <c r="A32" i="4"/>
  <c r="P31" i="4"/>
  <c r="O31" i="4"/>
  <c r="N31" i="4"/>
  <c r="M31" i="4"/>
  <c r="L31" i="4"/>
  <c r="K31" i="4"/>
  <c r="J31" i="4"/>
  <c r="I31" i="4"/>
  <c r="H31" i="4"/>
  <c r="G31" i="4"/>
  <c r="F31" i="4"/>
  <c r="E31" i="4"/>
  <c r="D31" i="4"/>
  <c r="C31" i="4"/>
  <c r="B31" i="4"/>
  <c r="A31" i="4"/>
  <c r="P30" i="4"/>
  <c r="O30" i="4"/>
  <c r="N30" i="4"/>
  <c r="M30" i="4"/>
  <c r="L30" i="4"/>
  <c r="K30" i="4"/>
  <c r="J30" i="4"/>
  <c r="I30" i="4"/>
  <c r="H30" i="4"/>
  <c r="G30" i="4"/>
  <c r="F30" i="4"/>
  <c r="E30" i="4"/>
  <c r="D30" i="4"/>
  <c r="C30" i="4"/>
  <c r="B30" i="4"/>
  <c r="A30" i="4"/>
  <c r="P29" i="4"/>
  <c r="O29" i="4"/>
  <c r="N29" i="4"/>
  <c r="M29" i="4"/>
  <c r="L29" i="4"/>
  <c r="K29" i="4"/>
  <c r="J29" i="4"/>
  <c r="I29" i="4"/>
  <c r="H29" i="4"/>
  <c r="G29" i="4"/>
  <c r="F29" i="4"/>
  <c r="E29" i="4"/>
  <c r="D29" i="4"/>
  <c r="C29" i="4"/>
  <c r="B29" i="4"/>
  <c r="A29" i="4"/>
  <c r="P28" i="4"/>
  <c r="O28" i="4"/>
  <c r="N28" i="4"/>
  <c r="M28" i="4"/>
  <c r="L28" i="4"/>
  <c r="K28" i="4"/>
  <c r="J28" i="4"/>
  <c r="I28" i="4"/>
  <c r="H28" i="4"/>
  <c r="G28" i="4"/>
  <c r="F28" i="4"/>
  <c r="E28" i="4"/>
  <c r="D28" i="4"/>
  <c r="C28" i="4"/>
  <c r="B28" i="4"/>
  <c r="A28" i="4"/>
  <c r="P27" i="4"/>
  <c r="O27" i="4"/>
  <c r="N27" i="4"/>
  <c r="M27" i="4"/>
  <c r="L27" i="4"/>
  <c r="K27" i="4"/>
  <c r="J27" i="4"/>
  <c r="I27" i="4"/>
  <c r="H27" i="4"/>
  <c r="G27" i="4"/>
  <c r="F27" i="4"/>
  <c r="E27" i="4"/>
  <c r="D27" i="4"/>
  <c r="C27" i="4"/>
  <c r="B27" i="4"/>
  <c r="A27" i="4"/>
  <c r="P26" i="4"/>
  <c r="O26" i="4"/>
  <c r="N26" i="4"/>
  <c r="M26" i="4"/>
  <c r="L26" i="4"/>
  <c r="K26" i="4"/>
  <c r="J26" i="4"/>
  <c r="I26" i="4"/>
  <c r="H26" i="4"/>
  <c r="G26" i="4"/>
  <c r="F26" i="4"/>
  <c r="E26" i="4"/>
  <c r="D26" i="4"/>
  <c r="C26" i="4"/>
  <c r="B26" i="4"/>
  <c r="A26" i="4"/>
  <c r="P25" i="4"/>
  <c r="O25" i="4"/>
  <c r="N25" i="4"/>
  <c r="M25" i="4"/>
  <c r="L25" i="4"/>
  <c r="K25" i="4"/>
  <c r="J25" i="4"/>
  <c r="I25" i="4"/>
  <c r="H25" i="4"/>
  <c r="G25" i="4"/>
  <c r="F25" i="4"/>
  <c r="E25" i="4"/>
  <c r="D25" i="4"/>
  <c r="C25" i="4"/>
  <c r="B25" i="4"/>
  <c r="A25" i="4"/>
  <c r="P24" i="4"/>
  <c r="O24" i="4"/>
  <c r="N24" i="4"/>
  <c r="M24" i="4"/>
  <c r="L24" i="4"/>
  <c r="K24" i="4"/>
  <c r="J24" i="4"/>
  <c r="I24" i="4"/>
  <c r="H24" i="4"/>
  <c r="G24" i="4"/>
  <c r="F24" i="4"/>
  <c r="E24" i="4"/>
  <c r="D24" i="4"/>
  <c r="C24" i="4"/>
  <c r="B24"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<sst xmlns="http://schemas.openxmlformats.org/spreadsheetml/2006/main" count="2841" uniqueCount="661">
  <si>
    <t>Platform</t>
  </si>
  <si>
    <t>Average of Engagement Rate</t>
  </si>
  <si>
    <t>Facebook</t>
  </si>
  <si>
    <t>Instagram</t>
  </si>
  <si>
    <t>Twitter</t>
  </si>
  <si>
    <t>YouTube</t>
  </si>
  <si>
    <t>Grand Total</t>
  </si>
  <si>
    <t>TOP 10 Tesla Post By Engagement Rate</t>
  </si>
  <si>
    <t>Post ID</t>
  </si>
  <si>
    <t>Date</t>
  </si>
  <si>
    <t>Content Type</t>
  </si>
  <si>
    <t>Post Text</t>
  </si>
  <si>
    <t>Likes</t>
  </si>
  <si>
    <t>Shares</t>
  </si>
  <si>
    <t>Comments</t>
  </si>
  <si>
    <t>Impressions</t>
  </si>
  <si>
    <t>Reach</t>
  </si>
  <si>
    <t>Clicks</t>
  </si>
  <si>
    <t>Hashtags 1</t>
  </si>
  <si>
    <t>Hashtags 2</t>
  </si>
  <si>
    <t>Hashtags 3</t>
  </si>
  <si>
    <t>Campaign_Name</t>
  </si>
  <si>
    <t>Engagement Rate</t>
  </si>
  <si>
    <t>Sum of Likes</t>
  </si>
  <si>
    <t>Sum of Shares</t>
  </si>
  <si>
    <t>Sum of Comments</t>
  </si>
  <si>
    <t>Carousel</t>
  </si>
  <si>
    <t>Image</t>
  </si>
  <si>
    <t>Reel</t>
  </si>
  <si>
    <t>Story</t>
  </si>
  <si>
    <t>Text</t>
  </si>
  <si>
    <t>Video</t>
  </si>
  <si>
    <t>Unique Hashtags</t>
  </si>
  <si>
    <t>Average of Clicks</t>
  </si>
  <si>
    <t>#AnytimeIsTeslaTime</t>
  </si>
  <si>
    <t>#BetterWithTesla</t>
  </si>
  <si>
    <t>#EVRevolution</t>
  </si>
  <si>
    <t>#FutureOfDriving</t>
  </si>
  <si>
    <t>#SmoothLikeNitroTesla</t>
  </si>
  <si>
    <t>#TeslaCoInnovation</t>
  </si>
  <si>
    <t>(blank)</t>
  </si>
  <si>
    <r>
      <rPr>
        <b/>
        <sz val="11"/>
        <color rgb="FF000000"/>
        <rFont val="Calibri"/>
        <scheme val="minor"/>
      </rPr>
      <t>Instagram</t>
    </r>
    <r>
      <rPr>
        <sz val="11"/>
        <color rgb="FF000000"/>
        <rFont val="Calibri"/>
        <scheme val="minor"/>
      </rPr>
      <t xml:space="preserve"> show the highest average engagement rate, slightly higher than Facebook, Twitter and YouTube. This indicates that Tesla’s audience interacts slightly more with posts on Instagram compared to the other platforms.</t>
    </r>
  </si>
  <si>
    <t>Average of Net_Growth</t>
  </si>
  <si>
    <r>
      <rPr>
        <b/>
        <sz val="11"/>
        <color rgb="FF000000"/>
        <rFont val="Calibri"/>
        <scheme val="minor"/>
      </rPr>
      <t>Instagram</t>
    </r>
    <r>
      <rPr>
        <sz val="11"/>
        <color rgb="FF000000"/>
        <rFont val="Calibri"/>
        <scheme val="minor"/>
      </rPr>
      <t xml:space="preserve"> and </t>
    </r>
    <r>
      <rPr>
        <b/>
        <sz val="11"/>
        <color rgb="FF000000"/>
        <rFont val="Calibri"/>
        <scheme val="minor"/>
      </rPr>
      <t>Twitter</t>
    </r>
    <r>
      <rPr>
        <sz val="11"/>
        <color rgb="FF000000"/>
        <rFont val="Calibri"/>
        <scheme val="minor"/>
      </rPr>
      <t xml:space="preserve"> show higher average net follower growth compared to other platforms, indicating stronger audience acquisition performance despite inconsistencies in total follower counts.</t>
    </r>
  </si>
  <si>
    <t>Sum of Total Engagement</t>
  </si>
  <si>
    <t>Average of Ad_Spend</t>
  </si>
  <si>
    <t>Efficiency %</t>
  </si>
  <si>
    <r>
      <t>Advise:</t>
    </r>
    <r>
      <rPr>
        <sz val="10"/>
        <color rgb="FF000000"/>
        <rFont val="Calibri"/>
        <scheme val="minor"/>
      </rPr>
      <t xml:space="preserve"> Should Tesla focus on Twitter + YouTube (product announcements + demos) or 
maintain a multi-platform strategy? 
</t>
    </r>
  </si>
  <si>
    <r>
      <rPr>
        <sz val="11"/>
        <color rgb="FF000000"/>
        <rFont val="Calibri"/>
        <scheme val="minor"/>
      </rPr>
      <t xml:space="preserve">The analysis shows that while Facebook generates the highest total engagement, it also has the highest ad spend, indicating lower efficiency compared to other platforms. </t>
    </r>
    <r>
      <rPr>
        <b/>
        <sz val="11"/>
        <color rgb="FF000000"/>
        <rFont val="Calibri"/>
        <scheme val="minor"/>
      </rPr>
      <t>Instagram</t>
    </r>
    <r>
      <rPr>
        <sz val="11"/>
        <color rgb="FF000000"/>
        <rFont val="Calibri"/>
        <scheme val="minor"/>
      </rPr>
      <t xml:space="preserve"> and </t>
    </r>
    <r>
      <rPr>
        <b/>
        <sz val="11"/>
        <color rgb="FF000000"/>
        <rFont val="Calibri"/>
        <scheme val="minor"/>
      </rPr>
      <t>Twitter</t>
    </r>
    <r>
      <rPr>
        <sz val="11"/>
        <color rgb="FF000000"/>
        <rFont val="Calibri"/>
        <scheme val="minor"/>
      </rPr>
      <t xml:space="preserve"> deliver relatively high engagement with lower ad spend, making them more cost-effective platforms. On the other hand, YouTube shows lower engagement despite higher investment, suggesting weaker performance. Therefore, Tesla should maintain a multi-platform strategy while optimizing budget allocation. More focus should be placed on Instagram and Twitter for cost-efficient engagement</t>
    </r>
  </si>
  <si>
    <t>Sum of Hashtag uses count</t>
  </si>
  <si>
    <r>
      <rPr>
        <b/>
        <sz val="10"/>
        <color rgb="FFFF0000"/>
        <rFont val="Calibri"/>
        <scheme val="minor"/>
      </rPr>
      <t>Meaning:</t>
    </r>
    <r>
      <rPr>
        <sz val="10"/>
        <color rgb="FF000000"/>
        <rFont val="Calibri"/>
        <scheme val="minor"/>
      </rPr>
      <t xml:space="preserve"> If any post having hashtag Ex: "</t>
    </r>
    <r>
      <rPr>
        <b/>
        <sz val="10"/>
        <color rgb="FF000000"/>
        <rFont val="Calibri"/>
        <scheme val="minor"/>
      </rPr>
      <t>#EVRevolution</t>
    </r>
    <r>
      <rPr>
        <sz val="10"/>
        <color rgb="FF000000"/>
        <rFont val="Calibri"/>
        <scheme val="minor"/>
      </rPr>
      <t>" if it found on Hashtag column 1, 2, or 3 then includes the matrics of that post.</t>
    </r>
  </si>
  <si>
    <r>
      <rPr>
        <b/>
        <sz val="20"/>
        <color rgb="FFFFFFFF"/>
        <rFont val="Calibri"/>
        <scheme val="minor"/>
      </rPr>
      <t xml:space="preserve">Hashtags Performance Table </t>
    </r>
    <r>
      <rPr>
        <b/>
        <sz val="10"/>
        <color rgb="FFFFFFFF"/>
        <rFont val="Calibri"/>
        <scheme val="minor"/>
      </rPr>
      <t>(</t>
    </r>
    <r>
      <rPr>
        <sz val="10"/>
        <color rgb="FFFFFFFF"/>
        <rFont val="Calibri"/>
        <scheme val="minor"/>
      </rPr>
      <t>using Conditional Aggregation)</t>
    </r>
  </si>
  <si>
    <t>Hashtag</t>
  </si>
  <si>
    <t>Avg Likes</t>
  </si>
  <si>
    <t>Avg Shares</t>
  </si>
  <si>
    <t>Avg Comments</t>
  </si>
  <si>
    <t>Avg Clicks</t>
  </si>
  <si>
    <t>Avg Engagement</t>
  </si>
  <si>
    <r>
      <rPr>
        <sz val="10"/>
        <color rgb="FF000000"/>
        <rFont val="Calibri"/>
        <scheme val="minor"/>
      </rPr>
      <t xml:space="preserve">Posts containing the hashtag </t>
    </r>
    <r>
      <rPr>
        <b/>
        <sz val="10"/>
        <color rgb="FF000000"/>
        <rFont val="Calibri"/>
        <scheme val="minor"/>
      </rPr>
      <t>#EVRevolution</t>
    </r>
    <r>
      <rPr>
        <sz val="10"/>
        <color rgb="FF000000"/>
        <rFont val="Calibri"/>
        <scheme val="minor"/>
      </rPr>
      <t xml:space="preserve"> achieve the highest average engagement and interaction levels.</t>
    </r>
  </si>
  <si>
    <t>Average of Likes</t>
  </si>
  <si>
    <t>Average of Shares</t>
  </si>
  <si>
    <t>Average of Comments</t>
  </si>
  <si>
    <t>Recommendation</t>
  </si>
  <si>
    <r>
      <rPr>
        <sz val="11"/>
        <color rgb="FF000000"/>
        <rFont val="Calibri"/>
        <scheme val="minor"/>
      </rPr>
      <t xml:space="preserve">Since </t>
    </r>
    <r>
      <rPr>
        <b/>
        <sz val="11"/>
        <color rgb="FF000000"/>
        <rFont val="Calibri"/>
        <scheme val="minor"/>
      </rPr>
      <t>Story</t>
    </r>
    <r>
      <rPr>
        <sz val="11"/>
        <color rgb="FF000000"/>
        <rFont val="Calibri"/>
        <scheme val="minor"/>
      </rPr>
      <t xml:space="preserve"> content generates the highest engagement, Tesla should prioritize story-based content on platforms where stories are popular, such as Instagram and Facebook.</t>
    </r>
  </si>
  <si>
    <t>Sum of Impressions</t>
  </si>
  <si>
    <t>Sum of Clicks</t>
  </si>
  <si>
    <t>Avg Impressions</t>
  </si>
  <si>
    <t>CybertruckLaunch</t>
  </si>
  <si>
    <t>FSDUpdate</t>
  </si>
  <si>
    <t>ModelYCampaign</t>
  </si>
  <si>
    <t>SustainabilityDrive</t>
  </si>
  <si>
    <t>Campaign Period</t>
  </si>
  <si>
    <t>Before</t>
  </si>
  <si>
    <t>During</t>
  </si>
  <si>
    <t>No Campaign</t>
  </si>
  <si>
    <t>Uplift Data</t>
  </si>
  <si>
    <t>Data Observation</t>
  </si>
  <si>
    <t>Some posts in the dataset are tagged with campaign names that fall outside the official campaign date ranges provided in the Campaign Metadata sheet. For the purpose of this analysis, the campaign labels assigned in the Posts dataset were used as the primary reference for campaign performance evaluation.</t>
  </si>
  <si>
    <t>Total Engagement</t>
  </si>
  <si>
    <t>Campaign Budget</t>
  </si>
  <si>
    <r>
      <rPr>
        <b/>
        <sz val="11"/>
        <color rgb="FF000000"/>
        <rFont val="Calibri"/>
        <scheme val="minor"/>
      </rPr>
      <t xml:space="preserve">ROI </t>
    </r>
    <r>
      <rPr>
        <b/>
        <sz val="8"/>
        <color rgb="FF000000"/>
        <rFont val="Calibri"/>
        <scheme val="minor"/>
      </rPr>
      <t>(Return on Investment)</t>
    </r>
  </si>
  <si>
    <t>Insight</t>
  </si>
  <si>
    <r>
      <rPr>
        <b/>
        <sz val="11"/>
        <color rgb="FF000000"/>
        <rFont val="Calibri"/>
        <scheme val="minor"/>
      </rPr>
      <t>SustainabilityDrive</t>
    </r>
    <r>
      <rPr>
        <sz val="11"/>
        <color rgb="FF000000"/>
        <rFont val="Calibri"/>
        <scheme val="minor"/>
      </rPr>
      <t xml:space="preserve"> campaign achieved the highest ROI, generating the highest engagement relative to its marketing budget. This indicates that the campaign was the most efficient in converting advertising spend into audience interaction.</t>
    </r>
  </si>
  <si>
    <t>Sum of Net_Growth</t>
  </si>
  <si>
    <r>
      <rPr>
        <sz val="11"/>
        <color rgb="FF000000"/>
        <rFont val="Calibri"/>
        <scheme val="minor"/>
      </rPr>
      <t xml:space="preserve">The </t>
    </r>
    <r>
      <rPr>
        <b/>
        <sz val="11"/>
        <color rgb="FF000000"/>
        <rFont val="Calibri"/>
        <scheme val="minor"/>
      </rPr>
      <t>SustainabilityDrive</t>
    </r>
    <r>
      <rPr>
        <sz val="11"/>
        <color rgb="FF000000"/>
        <rFont val="Calibri"/>
        <scheme val="minor"/>
      </rPr>
      <t xml:space="preserve"> campaign drove the highest follower growth, indicating that sustainability-focused messaging strongly resonates with Tesla’s audience and helps expand the brand’s social media reach.</t>
    </r>
  </si>
  <si>
    <t>Week_Start_Date</t>
  </si>
  <si>
    <t>2024-06-03</t>
  </si>
  <si>
    <t>2024-06-10</t>
  </si>
  <si>
    <t>2024-06-17</t>
  </si>
  <si>
    <t>2024-06-24</t>
  </si>
  <si>
    <t>2024-07-01</t>
  </si>
  <si>
    <t>2024-07-08</t>
  </si>
  <si>
    <t>2024-07-15</t>
  </si>
  <si>
    <t>2024-07-22</t>
  </si>
  <si>
    <t>2024-07-29</t>
  </si>
  <si>
    <t>2024-08-05</t>
  </si>
  <si>
    <t>2024-08-12</t>
  </si>
  <si>
    <t>2024-08-19</t>
  </si>
  <si>
    <t>2024-08-26</t>
  </si>
  <si>
    <t>2024-09-02</t>
  </si>
  <si>
    <t>2024-09-09</t>
  </si>
  <si>
    <t>2024-09-16</t>
  </si>
  <si>
    <t>2024-09-23</t>
  </si>
  <si>
    <t>2024-09-30</t>
  </si>
  <si>
    <t>2024-10-07</t>
  </si>
  <si>
    <t>2024-10-14</t>
  </si>
  <si>
    <t>2024-10-21</t>
  </si>
  <si>
    <t>2024-10-28</t>
  </si>
  <si>
    <t>2024-11-04</t>
  </si>
  <si>
    <t>2024-11-11</t>
  </si>
  <si>
    <t>2024-11-18</t>
  </si>
  <si>
    <t>2024-11-25</t>
  </si>
  <si>
    <t>2024-12-02</t>
  </si>
  <si>
    <t>2024-12-09</t>
  </si>
  <si>
    <t>2024-12-16</t>
  </si>
  <si>
    <t>2024-12-23</t>
  </si>
  <si>
    <r>
      <rPr>
        <sz val="11"/>
        <color rgb="FF000000"/>
        <rFont val="Calibri"/>
        <scheme val="minor"/>
      </rPr>
      <t xml:space="preserve">The highest follower growth was observed during the week of </t>
    </r>
    <r>
      <rPr>
        <b/>
        <sz val="11"/>
        <color rgb="FF000000"/>
        <rFont val="Calibri"/>
        <scheme val="minor"/>
      </rPr>
      <t>2024-12-30</t>
    </r>
    <r>
      <rPr>
        <sz val="11"/>
        <color rgb="FF000000"/>
        <rFont val="Calibri"/>
        <scheme val="minor"/>
      </rPr>
      <t>, indicating a spike in audience acquisition likely driven by campaign or content performance.</t>
    </r>
  </si>
  <si>
    <t>2024-12-30</t>
  </si>
  <si>
    <t>2025-01-06</t>
  </si>
  <si>
    <t>2025-01-13</t>
  </si>
  <si>
    <t>2025-01-20</t>
  </si>
  <si>
    <t>2025-01-27</t>
  </si>
  <si>
    <t>2025-02-03</t>
  </si>
  <si>
    <t>2025-02-10</t>
  </si>
  <si>
    <t>2025-02-17</t>
  </si>
  <si>
    <t>2025-02-24</t>
  </si>
  <si>
    <t>2025-03-03</t>
  </si>
  <si>
    <t>2025-03-10</t>
  </si>
  <si>
    <t>2025-03-17</t>
  </si>
  <si>
    <t>2025-03-24</t>
  </si>
  <si>
    <t>2025-03-31</t>
  </si>
  <si>
    <t>2025-04-07</t>
  </si>
  <si>
    <t>2025-04-14</t>
  </si>
  <si>
    <t>2025-04-21</t>
  </si>
  <si>
    <t>2025-04-28</t>
  </si>
  <si>
    <t>2025-05-05</t>
  </si>
  <si>
    <t>2025-05-12</t>
  </si>
  <si>
    <t>3-Week MA</t>
  </si>
  <si>
    <t xml:space="preserve"> </t>
  </si>
  <si>
    <t>The analysis shows that higher ad spend does not always result in proportionally higher follower growth, indicating that content quality and campaign effectiveness also play a key role in audience acquisition.</t>
  </si>
  <si>
    <t>Hashtag Uses Count</t>
  </si>
  <si>
    <t>Campaign Start</t>
  </si>
  <si>
    <t>Campaign End</t>
  </si>
  <si>
    <t>P220</t>
  </si>
  <si>
    <t>2024-06-02</t>
  </si>
  <si>
    <t>Check out our latest story on instagram!</t>
  </si>
  <si>
    <t>P058</t>
  </si>
  <si>
    <t>2025-04-15</t>
  </si>
  <si>
    <t>Check out our latest reel on instagram!</t>
  </si>
  <si>
    <t>P232</t>
  </si>
  <si>
    <t>2025-04-29</t>
  </si>
  <si>
    <t>Check out our latest story on twitter!</t>
  </si>
  <si>
    <t>P178</t>
  </si>
  <si>
    <t>2024-11-07</t>
  </si>
  <si>
    <t>Check out our latest video on instagram!</t>
  </si>
  <si>
    <t>P175</t>
  </si>
  <si>
    <t>2025-01-17</t>
  </si>
  <si>
    <t>P062</t>
  </si>
  <si>
    <t>2024-11-22</t>
  </si>
  <si>
    <t>Check out our latest carousel on twitter!</t>
  </si>
  <si>
    <t>P264</t>
  </si>
  <si>
    <t>2025-01-30</t>
  </si>
  <si>
    <t>Check out our latest image on twitter!</t>
  </si>
  <si>
    <t>P143</t>
  </si>
  <si>
    <t>2024-10-02</t>
  </si>
  <si>
    <t>Check out our latest carousel on youtube!</t>
  </si>
  <si>
    <t>P210</t>
  </si>
  <si>
    <t>2025-02-19</t>
  </si>
  <si>
    <t>Check out our latest image on youtube!</t>
  </si>
  <si>
    <t>P070</t>
  </si>
  <si>
    <t>2025-04-02</t>
  </si>
  <si>
    <t>Check out our latest video on facebook!</t>
  </si>
  <si>
    <t>P214</t>
  </si>
  <si>
    <t>Check out our latest image on instagram!</t>
  </si>
  <si>
    <t>P053</t>
  </si>
  <si>
    <t>P102</t>
  </si>
  <si>
    <t>2024-09-18</t>
  </si>
  <si>
    <t>Check out our latest reel on twitter!</t>
  </si>
  <si>
    <t>P124</t>
  </si>
  <si>
    <t>2025-04-06</t>
  </si>
  <si>
    <t>P121</t>
  </si>
  <si>
    <t>P224</t>
  </si>
  <si>
    <t>2025-05-13</t>
  </si>
  <si>
    <t>Check out our latest image on facebook!</t>
  </si>
  <si>
    <t>P154</t>
  </si>
  <si>
    <t>2024-10-09</t>
  </si>
  <si>
    <t>Check out our latest carousel on instagram!</t>
  </si>
  <si>
    <t>P119</t>
  </si>
  <si>
    <t>2025-02-07</t>
  </si>
  <si>
    <t>P287</t>
  </si>
  <si>
    <t>2024-08-15</t>
  </si>
  <si>
    <t>P204</t>
  </si>
  <si>
    <t>2025-01-01</t>
  </si>
  <si>
    <t>P066</t>
  </si>
  <si>
    <t>2024-07-26</t>
  </si>
  <si>
    <t>P183</t>
  </si>
  <si>
    <t>2024-12-17</t>
  </si>
  <si>
    <t>Check out our latest text on instagram!</t>
  </si>
  <si>
    <t>P093</t>
  </si>
  <si>
    <t>2024-12-11</t>
  </si>
  <si>
    <t>P263</t>
  </si>
  <si>
    <t>2024-08-20</t>
  </si>
  <si>
    <t>P248</t>
  </si>
  <si>
    <t>2025-02-02</t>
  </si>
  <si>
    <t>Check out our latest story on facebook!</t>
  </si>
  <si>
    <t>P244</t>
  </si>
  <si>
    <t>2024-10-25</t>
  </si>
  <si>
    <t>Check out our latest video on youtube!</t>
  </si>
  <si>
    <t>P259</t>
  </si>
  <si>
    <t>Check out our latest text on facebook!</t>
  </si>
  <si>
    <t>P219</t>
  </si>
  <si>
    <t>2025-01-28</t>
  </si>
  <si>
    <t>P226</t>
  </si>
  <si>
    <t>2024-08-07</t>
  </si>
  <si>
    <t>P265</t>
  </si>
  <si>
    <t>2025-02-20</t>
  </si>
  <si>
    <t>P239</t>
  </si>
  <si>
    <t>Check out our latest text on youtube!</t>
  </si>
  <si>
    <t>P277</t>
  </si>
  <si>
    <t>P297</t>
  </si>
  <si>
    <t>2024-12-24</t>
  </si>
  <si>
    <t>Check out our latest text on twitter!</t>
  </si>
  <si>
    <t>P181</t>
  </si>
  <si>
    <t>2025-03-21</t>
  </si>
  <si>
    <t>P246</t>
  </si>
  <si>
    <t>2024-10-11</t>
  </si>
  <si>
    <t>P123</t>
  </si>
  <si>
    <t>2024-06-14</t>
  </si>
  <si>
    <t>P120</t>
  </si>
  <si>
    <t>P141</t>
  </si>
  <si>
    <t>2024-08-31</t>
  </si>
  <si>
    <t>P163</t>
  </si>
  <si>
    <t>2025-04-08</t>
  </si>
  <si>
    <t>P269</t>
  </si>
  <si>
    <t>2024-11-05</t>
  </si>
  <si>
    <t>P042</t>
  </si>
  <si>
    <t>2025-03-05</t>
  </si>
  <si>
    <t>Check out our latest reel on youtube!</t>
  </si>
  <si>
    <t>P043</t>
  </si>
  <si>
    <t>2024-12-14</t>
  </si>
  <si>
    <t>P159</t>
  </si>
  <si>
    <t>P146</t>
  </si>
  <si>
    <t>2024-06-05</t>
  </si>
  <si>
    <t>P029</t>
  </si>
  <si>
    <t>2025-01-31</t>
  </si>
  <si>
    <t>P137</t>
  </si>
  <si>
    <t>2024-07-31</t>
  </si>
  <si>
    <t>P087</t>
  </si>
  <si>
    <t>2024-06-06</t>
  </si>
  <si>
    <t>Check out our latest video on twitter!</t>
  </si>
  <si>
    <t>P271</t>
  </si>
  <si>
    <t>2024-10-17</t>
  </si>
  <si>
    <t>P077</t>
  </si>
  <si>
    <t>2025-03-04</t>
  </si>
  <si>
    <t>P136</t>
  </si>
  <si>
    <t>2024-07-11</t>
  </si>
  <si>
    <t>P258</t>
  </si>
  <si>
    <t>P276</t>
  </si>
  <si>
    <t>2024-06-07</t>
  </si>
  <si>
    <t>P148</t>
  </si>
  <si>
    <t>P198</t>
  </si>
  <si>
    <t>2024-09-14</t>
  </si>
  <si>
    <t>P152</t>
  </si>
  <si>
    <t>2025-04-22</t>
  </si>
  <si>
    <t>P286</t>
  </si>
  <si>
    <t>2024-09-25</t>
  </si>
  <si>
    <t>P068</t>
  </si>
  <si>
    <t>2024-12-08</t>
  </si>
  <si>
    <t>P085</t>
  </si>
  <si>
    <t>2025-04-19</t>
  </si>
  <si>
    <t>P032</t>
  </si>
  <si>
    <t>P218</t>
  </si>
  <si>
    <t>2024-06-11</t>
  </si>
  <si>
    <t>Check out our latest carousel on facebook!</t>
  </si>
  <si>
    <t>P211</t>
  </si>
  <si>
    <t>2024-07-18</t>
  </si>
  <si>
    <t>P242</t>
  </si>
  <si>
    <t>2024-07-07</t>
  </si>
  <si>
    <t>Check out our latest reel on facebook!</t>
  </si>
  <si>
    <t>P041</t>
  </si>
  <si>
    <t>2025-03-08</t>
  </si>
  <si>
    <t>P294</t>
  </si>
  <si>
    <t>2024-06-19</t>
  </si>
  <si>
    <t>P006</t>
  </si>
  <si>
    <t>2024-10-31</t>
  </si>
  <si>
    <t>P153</t>
  </si>
  <si>
    <t>P037</t>
  </si>
  <si>
    <t>P241</t>
  </si>
  <si>
    <t>2025-01-18</t>
  </si>
  <si>
    <t>P112</t>
  </si>
  <si>
    <t>2024-10-05</t>
  </si>
  <si>
    <t>P129</t>
  </si>
  <si>
    <t>2024-07-21</t>
  </si>
  <si>
    <t>P028</t>
  </si>
  <si>
    <t>P046</t>
  </si>
  <si>
    <t>2025-05-02</t>
  </si>
  <si>
    <t>P089</t>
  </si>
  <si>
    <t>2025-01-10</t>
  </si>
  <si>
    <t>P094</t>
  </si>
  <si>
    <t>P116</t>
  </si>
  <si>
    <t>2025-03-18</t>
  </si>
  <si>
    <t>P275</t>
  </si>
  <si>
    <t>P109</t>
  </si>
  <si>
    <t>2024-08-08</t>
  </si>
  <si>
    <t>P047</t>
  </si>
  <si>
    <t>P295</t>
  </si>
  <si>
    <t>2025-05-06</t>
  </si>
  <si>
    <t>P054</t>
  </si>
  <si>
    <t>2025-03-13</t>
  </si>
  <si>
    <t>P060</t>
  </si>
  <si>
    <t>P083</t>
  </si>
  <si>
    <t>2024-10-15</t>
  </si>
  <si>
    <t>P138</t>
  </si>
  <si>
    <t>2025-03-29</t>
  </si>
  <si>
    <t>P221</t>
  </si>
  <si>
    <t>2025-03-23</t>
  </si>
  <si>
    <t>P252</t>
  </si>
  <si>
    <t>P052</t>
  </si>
  <si>
    <t>2025-01-03</t>
  </si>
  <si>
    <t>P140</t>
  </si>
  <si>
    <t>P165</t>
  </si>
  <si>
    <t>P164</t>
  </si>
  <si>
    <t>2025-02-27</t>
  </si>
  <si>
    <t>P262</t>
  </si>
  <si>
    <t>P147</t>
  </si>
  <si>
    <t>P004</t>
  </si>
  <si>
    <t>P014</t>
  </si>
  <si>
    <t>2025-02-16</t>
  </si>
  <si>
    <t>P192</t>
  </si>
  <si>
    <t>2024-11-29</t>
  </si>
  <si>
    <t>P173</t>
  </si>
  <si>
    <t>2024-12-05</t>
  </si>
  <si>
    <t>P166</t>
  </si>
  <si>
    <t>P207</t>
  </si>
  <si>
    <t>2024-12-29</t>
  </si>
  <si>
    <t>P061</t>
  </si>
  <si>
    <t>2024-09-05</t>
  </si>
  <si>
    <t>P125</t>
  </si>
  <si>
    <t>2024-09-08</t>
  </si>
  <si>
    <t>P272</t>
  </si>
  <si>
    <t>2025-03-27</t>
  </si>
  <si>
    <t>P040</t>
  </si>
  <si>
    <t>2025-03-07</t>
  </si>
  <si>
    <t>P299</t>
  </si>
  <si>
    <t>P174</t>
  </si>
  <si>
    <t>2024-06-22</t>
  </si>
  <si>
    <t>P104</t>
  </si>
  <si>
    <t>Check out our latest story on youtube!</t>
  </si>
  <si>
    <t>P195</t>
  </si>
  <si>
    <t>P184</t>
  </si>
  <si>
    <t>2024-07-28</t>
  </si>
  <si>
    <t>P092</t>
  </si>
  <si>
    <t>P088</t>
  </si>
  <si>
    <t>P285</t>
  </si>
  <si>
    <t>P050</t>
  </si>
  <si>
    <t>2024-07-03</t>
  </si>
  <si>
    <t>P132</t>
  </si>
  <si>
    <t>P229</t>
  </si>
  <si>
    <t>P074</t>
  </si>
  <si>
    <t>P254</t>
  </si>
  <si>
    <t>2025-01-14</t>
  </si>
  <si>
    <t>P131</t>
  </si>
  <si>
    <t>P236</t>
  </si>
  <si>
    <t>P114</t>
  </si>
  <si>
    <t>2024-11-14</t>
  </si>
  <si>
    <t>P056</t>
  </si>
  <si>
    <t>2024-12-18</t>
  </si>
  <si>
    <t>P105</t>
  </si>
  <si>
    <t>P012</t>
  </si>
  <si>
    <t>P235</t>
  </si>
  <si>
    <t>2024-12-22</t>
  </si>
  <si>
    <t>P033</t>
  </si>
  <si>
    <t>2024-08-21</t>
  </si>
  <si>
    <t>P038</t>
  </si>
  <si>
    <t>P196</t>
  </si>
  <si>
    <t>2024-12-19</t>
  </si>
  <si>
    <t>P128</t>
  </si>
  <si>
    <t>P169</t>
  </si>
  <si>
    <t>2024-12-03</t>
  </si>
  <si>
    <t>P293</t>
  </si>
  <si>
    <t>2025-05-14</t>
  </si>
  <si>
    <t>P292</t>
  </si>
  <si>
    <t>2024-11-17</t>
  </si>
  <si>
    <t>P212</t>
  </si>
  <si>
    <t>P110</t>
  </si>
  <si>
    <t>P245</t>
  </si>
  <si>
    <t>2025-01-12</t>
  </si>
  <si>
    <t>P075</t>
  </si>
  <si>
    <t>2024-08-01</t>
  </si>
  <si>
    <t>P255</t>
  </si>
  <si>
    <t>2025-04-03</t>
  </si>
  <si>
    <t>P071</t>
  </si>
  <si>
    <t>P065</t>
  </si>
  <si>
    <t>2025-03-28</t>
  </si>
  <si>
    <t>P247</t>
  </si>
  <si>
    <t>2024-08-27</t>
  </si>
  <si>
    <t>P035</t>
  </si>
  <si>
    <t>2024-11-30</t>
  </si>
  <si>
    <t>P117</t>
  </si>
  <si>
    <t>P251</t>
  </si>
  <si>
    <t>P011</t>
  </si>
  <si>
    <t>P161</t>
  </si>
  <si>
    <t>P155</t>
  </si>
  <si>
    <t>2024-12-21</t>
  </si>
  <si>
    <t>P284</t>
  </si>
  <si>
    <t>2024-09-17</t>
  </si>
  <si>
    <t>P113</t>
  </si>
  <si>
    <t>P158</t>
  </si>
  <si>
    <t>2024-08-11</t>
  </si>
  <si>
    <t>P098</t>
  </si>
  <si>
    <t>P227</t>
  </si>
  <si>
    <t>2024-06-12</t>
  </si>
  <si>
    <t>P222</t>
  </si>
  <si>
    <t>2024-10-08</t>
  </si>
  <si>
    <t>P278</t>
  </si>
  <si>
    <t>2024-11-26</t>
  </si>
  <si>
    <t>P151</t>
  </si>
  <si>
    <t>P156</t>
  </si>
  <si>
    <t>2024-10-22</t>
  </si>
  <si>
    <t>P157</t>
  </si>
  <si>
    <t>2024-07-23</t>
  </si>
  <si>
    <t>P206</t>
  </si>
  <si>
    <t>P282</t>
  </si>
  <si>
    <t>2024-10-03</t>
  </si>
  <si>
    <t>P049</t>
  </si>
  <si>
    <t>P205</t>
  </si>
  <si>
    <t>2025-04-24</t>
  </si>
  <si>
    <t>P008</t>
  </si>
  <si>
    <t>2024-07-13</t>
  </si>
  <si>
    <t>P096</t>
  </si>
  <si>
    <t>2024-09-10</t>
  </si>
  <si>
    <t>P018</t>
  </si>
  <si>
    <t>P182</t>
  </si>
  <si>
    <t>P266</t>
  </si>
  <si>
    <t>P019</t>
  </si>
  <si>
    <t>2024-06-23</t>
  </si>
  <si>
    <t>P108</t>
  </si>
  <si>
    <t>2025-03-25</t>
  </si>
  <si>
    <t>P126</t>
  </si>
  <si>
    <t>P103</t>
  </si>
  <si>
    <t>P191</t>
  </si>
  <si>
    <t>P193</t>
  </si>
  <si>
    <t>2024-09-11</t>
  </si>
  <si>
    <t>P167</t>
  </si>
  <si>
    <t>2024-11-28</t>
  </si>
  <si>
    <t>P044</t>
  </si>
  <si>
    <t>2025-03-02</t>
  </si>
  <si>
    <t>P171</t>
  </si>
  <si>
    <t>2024-12-31</t>
  </si>
  <si>
    <t>P273</t>
  </si>
  <si>
    <t>2024-10-12</t>
  </si>
  <si>
    <t>P243</t>
  </si>
  <si>
    <t>2025-03-06</t>
  </si>
  <si>
    <t>P185</t>
  </si>
  <si>
    <t>2025-01-11</t>
  </si>
  <si>
    <t>P081</t>
  </si>
  <si>
    <t>2024-10-19</t>
  </si>
  <si>
    <t>P017</t>
  </si>
  <si>
    <t>P139</t>
  </si>
  <si>
    <t>2024-10-29</t>
  </si>
  <si>
    <t>P069</t>
  </si>
  <si>
    <t>P059</t>
  </si>
  <si>
    <t>P100</t>
  </si>
  <si>
    <t>P055</t>
  </si>
  <si>
    <t>P177</t>
  </si>
  <si>
    <t>2024-07-10</t>
  </si>
  <si>
    <t>P160</t>
  </si>
  <si>
    <t>2024-08-24</t>
  </si>
  <si>
    <t>P001</t>
  </si>
  <si>
    <t>P201</t>
  </si>
  <si>
    <t>2025-01-15</t>
  </si>
  <si>
    <t>P180</t>
  </si>
  <si>
    <t>P026</t>
  </si>
  <si>
    <t>2025-04-05</t>
  </si>
  <si>
    <t>P130</t>
  </si>
  <si>
    <t>2024-09-29</t>
  </si>
  <si>
    <t>P079</t>
  </si>
  <si>
    <t>P072</t>
  </si>
  <si>
    <t>P009</t>
  </si>
  <si>
    <t>2024-08-30</t>
  </si>
  <si>
    <t>P260</t>
  </si>
  <si>
    <t>2025-02-12</t>
  </si>
  <si>
    <t>P249</t>
  </si>
  <si>
    <t>P097</t>
  </si>
  <si>
    <t>2024-08-13</t>
  </si>
  <si>
    <t>P253</t>
  </si>
  <si>
    <t>2024-08-03</t>
  </si>
  <si>
    <t>P084</t>
  </si>
  <si>
    <t>P162</t>
  </si>
  <si>
    <t>2025-04-01</t>
  </si>
  <si>
    <t>P208</t>
  </si>
  <si>
    <t>P240</t>
  </si>
  <si>
    <t>P231</t>
  </si>
  <si>
    <t>2025-05-01</t>
  </si>
  <si>
    <t>P106</t>
  </si>
  <si>
    <t>2025-02-04</t>
  </si>
  <si>
    <t>P082</t>
  </si>
  <si>
    <t>2024-07-24</t>
  </si>
  <si>
    <t>P199</t>
  </si>
  <si>
    <t>P188</t>
  </si>
  <si>
    <t>P186</t>
  </si>
  <si>
    <t>P194</t>
  </si>
  <si>
    <t>P268</t>
  </si>
  <si>
    <t>2025-04-13</t>
  </si>
  <si>
    <t>P290</t>
  </si>
  <si>
    <t>2024-12-20</t>
  </si>
  <si>
    <t>P187</t>
  </si>
  <si>
    <t>P300</t>
  </si>
  <si>
    <t>P280</t>
  </si>
  <si>
    <t>P261</t>
  </si>
  <si>
    <t>2024-10-27</t>
  </si>
  <si>
    <t>P209</t>
  </si>
  <si>
    <t>2025-03-19</t>
  </si>
  <si>
    <t>P213</t>
  </si>
  <si>
    <t>P202</t>
  </si>
  <si>
    <t>P078</t>
  </si>
  <si>
    <t>P064</t>
  </si>
  <si>
    <t>2024-08-17</t>
  </si>
  <si>
    <t>P228</t>
  </si>
  <si>
    <t>P076</t>
  </si>
  <si>
    <t>P057</t>
  </si>
  <si>
    <t>P122</t>
  </si>
  <si>
    <t>P022</t>
  </si>
  <si>
    <t>P118</t>
  </si>
  <si>
    <t>P257</t>
  </si>
  <si>
    <t>P091</t>
  </si>
  <si>
    <t>P274</t>
  </si>
  <si>
    <t>P051</t>
  </si>
  <si>
    <t>2024-06-13</t>
  </si>
  <si>
    <t>P080</t>
  </si>
  <si>
    <t>P230</t>
  </si>
  <si>
    <t>P149</t>
  </si>
  <si>
    <t>2024-06-16</t>
  </si>
  <si>
    <t>P021</t>
  </si>
  <si>
    <t>2025-01-04</t>
  </si>
  <si>
    <t>P023</t>
  </si>
  <si>
    <t>2024-11-06</t>
  </si>
  <si>
    <t>P036</t>
  </si>
  <si>
    <t>P002</t>
  </si>
  <si>
    <t>P234</t>
  </si>
  <si>
    <t>2024-06-01</t>
  </si>
  <si>
    <t>P013</t>
  </si>
  <si>
    <t>P016</t>
  </si>
  <si>
    <t>P179</t>
  </si>
  <si>
    <t>P045</t>
  </si>
  <si>
    <t>2024-11-01</t>
  </si>
  <si>
    <t>P168</t>
  </si>
  <si>
    <t>2024-11-12</t>
  </si>
  <si>
    <t>P111</t>
  </si>
  <si>
    <t>2024-11-23</t>
  </si>
  <si>
    <t>P101</t>
  </si>
  <si>
    <t>2024-10-18</t>
  </si>
  <si>
    <t>P048</t>
  </si>
  <si>
    <t>2025-03-11</t>
  </si>
  <si>
    <t>P250</t>
  </si>
  <si>
    <t>P289</t>
  </si>
  <si>
    <t>P233</t>
  </si>
  <si>
    <t>P172</t>
  </si>
  <si>
    <t>2024-08-14</t>
  </si>
  <si>
    <t>P238</t>
  </si>
  <si>
    <t>2024-07-16</t>
  </si>
  <si>
    <t>P189</t>
  </si>
  <si>
    <t>P039</t>
  </si>
  <si>
    <t>P215</t>
  </si>
  <si>
    <t>P024</t>
  </si>
  <si>
    <t>2025-01-23</t>
  </si>
  <si>
    <t>P099</t>
  </si>
  <si>
    <t>2024-07-02</t>
  </si>
  <si>
    <t>P010</t>
  </si>
  <si>
    <t>P291</t>
  </si>
  <si>
    <t>P133</t>
  </si>
  <si>
    <t>2025-02-06</t>
  </si>
  <si>
    <t>P027</t>
  </si>
  <si>
    <t>P134</t>
  </si>
  <si>
    <t>P090</t>
  </si>
  <si>
    <t>P034</t>
  </si>
  <si>
    <t>2025-03-26</t>
  </si>
  <si>
    <t>P007</t>
  </si>
  <si>
    <t>P142</t>
  </si>
  <si>
    <t>P127</t>
  </si>
  <si>
    <t>P170</t>
  </si>
  <si>
    <t>P095</t>
  </si>
  <si>
    <t>2024-11-08</t>
  </si>
  <si>
    <t>P288</t>
  </si>
  <si>
    <t>2025-04-17</t>
  </si>
  <si>
    <t>P237</t>
  </si>
  <si>
    <t>P270</t>
  </si>
  <si>
    <t>P005</t>
  </si>
  <si>
    <t>2024-06-26</t>
  </si>
  <si>
    <t>P086</t>
  </si>
  <si>
    <t>P144</t>
  </si>
  <si>
    <t>P197</t>
  </si>
  <si>
    <t>P135</t>
  </si>
  <si>
    <t>P073</t>
  </si>
  <si>
    <t>P267</t>
  </si>
  <si>
    <t>2024-10-04</t>
  </si>
  <si>
    <t>P020</t>
  </si>
  <si>
    <t>P067</t>
  </si>
  <si>
    <t>P150</t>
  </si>
  <si>
    <t>2024-08-22</t>
  </si>
  <si>
    <t>P281</t>
  </si>
  <si>
    <t>2025-03-22</t>
  </si>
  <si>
    <t>P217</t>
  </si>
  <si>
    <t>P200</t>
  </si>
  <si>
    <t>P107</t>
  </si>
  <si>
    <t>2024-06-21</t>
  </si>
  <si>
    <t>P115</t>
  </si>
  <si>
    <t>2025-05-11</t>
  </si>
  <si>
    <t>P223</t>
  </si>
  <si>
    <t>P279</t>
  </si>
  <si>
    <t>P025</t>
  </si>
  <si>
    <t>2025-04-10</t>
  </si>
  <si>
    <t>P015</t>
  </si>
  <si>
    <t>2024-10-24</t>
  </si>
  <si>
    <t>P296</t>
  </si>
  <si>
    <t>2025-02-11</t>
  </si>
  <si>
    <t>P298</t>
  </si>
  <si>
    <t>P216</t>
  </si>
  <si>
    <t>P283</t>
  </si>
  <si>
    <t>2025-05-09</t>
  </si>
  <si>
    <t>P256</t>
  </si>
  <si>
    <t>P030</t>
  </si>
  <si>
    <t>2025-02-25</t>
  </si>
  <si>
    <t>P203</t>
  </si>
  <si>
    <t>2024-11-21</t>
  </si>
  <si>
    <t>P225</t>
  </si>
  <si>
    <t>2024-06-20</t>
  </si>
  <si>
    <t>P145</t>
  </si>
  <si>
    <t>P190</t>
  </si>
  <si>
    <t>P003</t>
  </si>
  <si>
    <t>P176</t>
  </si>
  <si>
    <t>P063</t>
  </si>
  <si>
    <t>New_Followers</t>
  </si>
  <si>
    <t>Unfollows</t>
  </si>
  <si>
    <t>Total_Followers</t>
  </si>
  <si>
    <t>Engagement_Rate</t>
  </si>
  <si>
    <t>Ad_Spend</t>
  </si>
  <si>
    <t>Net_Growth</t>
  </si>
  <si>
    <t>Growth Rate</t>
  </si>
  <si>
    <t>Start_Date</t>
  </si>
  <si>
    <t>End_Date</t>
  </si>
  <si>
    <t>Objective</t>
  </si>
  <si>
    <t>Total_Budget</t>
  </si>
  <si>
    <t>Target_Platforms</t>
  </si>
  <si>
    <t>Primary_Hashtags</t>
  </si>
  <si>
    <t>2024-06-15</t>
  </si>
  <si>
    <t>Product Awareness</t>
  </si>
  <si>
    <t>Instagram,Facebook</t>
  </si>
  <si>
    <t>#EVRevolution,#TeslaCoInnovation</t>
  </si>
  <si>
    <t>2024-10-01</t>
  </si>
  <si>
    <t>Customer Engagement</t>
  </si>
  <si>
    <t>Instagram,YouTube</t>
  </si>
  <si>
    <t>#AnytimeIsTeslaTime,</t>
  </si>
  <si>
    <t>2024-12-25</t>
  </si>
  <si>
    <t>Vehicle Launch</t>
  </si>
  <si>
    <t>Facebook,Twitter</t>
  </si>
  <si>
    <t>2025-03-01</t>
  </si>
  <si>
    <t>Community Growth</t>
  </si>
  <si>
    <t>Instagram,Twitter</t>
  </si>
  <si>
    <t>#BetterWithTesla,#FutureOfDriving</t>
  </si>
  <si>
    <r>
      <rPr>
        <b/>
        <sz val="11"/>
        <color theme="1"/>
        <rFont val="Calibri"/>
        <family val="2"/>
        <scheme val="minor"/>
      </rPr>
      <t>#BetterWithTesla, #EVRevolution, #FutureOfDriving</t>
    </r>
    <r>
      <rPr>
        <sz val="11"/>
        <color theme="1"/>
        <rFont val="Calibri"/>
        <scheme val="minor"/>
      </rPr>
      <t xml:space="preserve"> are </t>
    </r>
    <r>
      <rPr>
        <b/>
        <sz val="11"/>
        <color theme="1"/>
        <rFont val="Calibri"/>
        <family val="2"/>
        <scheme val="minor"/>
      </rPr>
      <t>top 3</t>
    </r>
    <r>
      <rPr>
        <sz val="11"/>
        <color theme="1"/>
        <rFont val="Calibri"/>
        <scheme val="minor"/>
      </rPr>
      <t xml:space="preserve"> performing Hashtags with the highest average clicks per post by Hashtags.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</si>
</sst>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8"/>
      <color theme="1"/>
      <name val="Calibri"/>
      <scheme val="minor"/>
    </font>
    <font>
      <b/>
      <sz val="20"/>
      <color theme="0"/>
      <name val="Calibri"/>
      <scheme val="minor"/>
    </font>
    <font>
      <b/>
      <sz val="20"/>
      <color rgb="FFFFFFFF"/>
      <name val="Calibri"/>
      <scheme val="minor"/>
    </font>
    <font>
      <sz val="10"/>
      <color rgb="FFFFFFFF"/>
      <name val="Calibri"/>
      <scheme val="minor"/>
    </font>
    <font>
      <b/>
      <sz val="10"/>
      <color rgb="FFFFFFFF"/>
      <name val="Calibri"/>
      <scheme val="minor"/>
    </font>
    <font>
      <sz val="10"/>
      <color theme="1"/>
      <name val="Calibri"/>
      <scheme val="minor"/>
    </font>
    <font>
      <b/>
      <sz val="10"/>
      <color rgb="FFFF0000"/>
      <name val="Calibri"/>
      <scheme val="minor"/>
    </font>
    <font>
      <sz val="10"/>
      <color rgb="FF000000"/>
      <name val="Calibri"/>
      <scheme val="minor"/>
    </font>
    <font>
      <b/>
      <sz val="10"/>
      <color rgb="FF000000"/>
      <name val="Calibri"/>
      <scheme val="minor"/>
    </font>
    <font>
      <b/>
      <sz val="16"/>
      <color theme="0"/>
      <name val="Calibri"/>
      <scheme val="minor"/>
    </font>
    <font>
      <b/>
      <sz val="11"/>
      <color rgb="FF000000"/>
      <name val="Calibri"/>
      <scheme val="minor"/>
    </font>
    <font>
      <b/>
      <sz val="8"/>
      <color rgb="FF000000"/>
      <name val="Calibri"/>
      <scheme val="minor"/>
    </font>
    <font>
      <sz val="20"/>
      <color theme="0"/>
      <name val="Calibri"/>
      <scheme val="minor"/>
    </font>
    <font>
      <sz val="11"/>
      <color rgb="FF000000"/>
      <name val="Calibri"/>
      <scheme val="minor"/>
    </font>
    <font>
      <sz val="11"/>
      <color rgb="FFFF0000"/>
      <name val="Calibri"/>
      <scheme val="minor"/>
    </font>
    <font>
      <b/>
      <sz val="14"/>
      <color theme="0"/>
      <name val="Calibri"/>
      <scheme val="minor"/>
    </font>
    <font>
      <sz val="18"/>
      <color theme="0"/>
      <name val="Calibri"/>
      <scheme val="minor"/>
    </font>
    <font>
      <b/>
      <sz val="11"/>
      <color theme="1"/>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0"/>
        <bgColor indexed="64"/>
      </patternFill>
    </fill>
    <fill>
      <patternFill patternType="solid">
        <fgColor theme="1" tint="4.9989318521683403E-2"/>
        <bgColor indexed="64"/>
      </patternFill>
    </fill>
    <fill>
      <patternFill patternType="solid">
        <fgColor theme="4" tint="-0.49998474074526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thin">
        <color theme="4" tint="0.39997558519241921"/>
      </bottom>
      <diagonal/>
    </border>
    <border>
      <left/>
      <right/>
      <top style="thin">
        <color theme="4" tint="0.39997558519241921"/>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1">
    <xf numFmtId="0" fontId="0" fillId="0" borderId="0"/>
  </cellStyleXfs>
  <cellXfs count="119">
    <xf numFmtId="0" fontId="0" fillId="0" borderId="0" xfId="0"/>
    <xf numFmtId="0" fontId="2" fillId="0" borderId="1" xfId="0" applyFont="1" applyBorder="1" applyAlignment="1">
      <alignment horizontal="center" vertical="top"/>
    </xf>
    <xf numFmtId="0" fontId="3" fillId="0" borderId="0" xfId="0" applyFont="1"/>
    <xf numFmtId="1" fontId="0" fillId="0" borderId="0" xfId="0" applyNumberFormat="1"/>
    <xf numFmtId="0" fontId="0" fillId="0" borderId="0" xfId="0" applyAlignment="1">
      <alignment horizontal="center"/>
    </xf>
    <xf numFmtId="14" fontId="3" fillId="0" borderId="0" xfId="0" applyNumberFormat="1" applyFont="1" applyAlignment="1">
      <alignment horizontal="center"/>
    </xf>
    <xf numFmtId="1" fontId="3" fillId="0" borderId="0" xfId="0" applyNumberFormat="1" applyFont="1" applyAlignment="1">
      <alignment horizontal="center"/>
    </xf>
    <xf numFmtId="1" fontId="0" fillId="0" borderId="0" xfId="0" applyNumberFormat="1" applyAlignment="1">
      <alignment horizontal="center"/>
    </xf>
    <xf numFmtId="164" fontId="3" fillId="0" borderId="0" xfId="0" applyNumberFormat="1" applyFont="1"/>
    <xf numFmtId="1" fontId="3" fillId="0" borderId="0" xfId="0" applyNumberFormat="1" applyFont="1"/>
    <xf numFmtId="14" fontId="3" fillId="0" borderId="0" xfId="0" applyNumberFormat="1" applyFont="1"/>
    <xf numFmtId="0" fontId="2" fillId="0" borderId="0" xfId="0" applyFont="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2" fillId="0" borderId="0" xfId="0" applyFont="1" applyAlignment="1">
      <alignment horizontal="center" vertical="top"/>
    </xf>
    <xf numFmtId="14" fontId="0" fillId="0" borderId="0" xfId="0" applyNumberFormat="1" applyAlignment="1">
      <alignment horizontal="center"/>
    </xf>
    <xf numFmtId="0" fontId="2" fillId="4" borderId="11" xfId="0" applyFont="1" applyFill="1" applyBorder="1" applyAlignment="1">
      <alignment horizontal="center" vertical="center"/>
    </xf>
    <xf numFmtId="0" fontId="2" fillId="4" borderId="0" xfId="0" applyFont="1" applyFill="1" applyAlignment="1">
      <alignment horizontal="center" vertical="center"/>
    </xf>
    <xf numFmtId="1" fontId="2" fillId="4" borderId="12" xfId="0" applyNumberFormat="1" applyFont="1" applyFill="1" applyBorder="1" applyAlignment="1">
      <alignment horizontal="center" vertical="center"/>
    </xf>
    <xf numFmtId="0" fontId="0" fillId="0" borderId="0" xfId="0" applyAlignment="1">
      <alignment horizontal="center" vertical="center" wrapText="1"/>
    </xf>
    <xf numFmtId="0" fontId="14" fillId="4" borderId="11" xfId="0" applyFont="1" applyFill="1" applyBorder="1" applyAlignment="1">
      <alignment horizontal="center" vertical="center" wrapText="1"/>
    </xf>
    <xf numFmtId="0" fontId="2" fillId="0" borderId="1" xfId="0" applyFont="1" applyBorder="1" applyAlignment="1">
      <alignment horizontal="center" vertical="center"/>
    </xf>
    <xf numFmtId="10" fontId="0" fillId="0" borderId="0" xfId="0" applyNumberFormat="1" applyAlignment="1">
      <alignment horizontal="center"/>
    </xf>
    <xf numFmtId="9" fontId="0" fillId="0" borderId="0" xfId="0" applyNumberFormat="1" applyAlignment="1">
      <alignment horizontal="center"/>
    </xf>
    <xf numFmtId="9" fontId="2" fillId="0" borderId="1" xfId="0" applyNumberFormat="1" applyFont="1" applyBorder="1" applyAlignment="1">
      <alignment horizontal="center" vertical="top"/>
    </xf>
    <xf numFmtId="49" fontId="2" fillId="0" borderId="1" xfId="0" applyNumberFormat="1" applyFont="1" applyBorder="1" applyAlignment="1">
      <alignment horizontal="center" vertical="top"/>
    </xf>
    <xf numFmtId="49" fontId="0" fillId="0" borderId="0" xfId="0" applyNumberFormat="1" applyAlignment="1">
      <alignment horizontal="center"/>
    </xf>
    <xf numFmtId="2" fontId="2" fillId="0" borderId="1" xfId="0" applyNumberFormat="1" applyFont="1" applyBorder="1" applyAlignment="1">
      <alignment horizontal="center" vertical="top"/>
    </xf>
    <xf numFmtId="2" fontId="0" fillId="0" borderId="0" xfId="0" applyNumberFormat="1" applyAlignment="1">
      <alignment horizontal="center"/>
    </xf>
    <xf numFmtId="14" fontId="2" fillId="0" borderId="1" xfId="0" applyNumberFormat="1" applyFont="1" applyBorder="1" applyAlignment="1">
      <alignment horizontal="center" vertical="top"/>
    </xf>
    <xf numFmtId="49" fontId="0" fillId="0" borderId="0" xfId="0" applyNumberFormat="1" applyAlignment="1">
      <alignment horizontal="center" wrapText="1"/>
    </xf>
    <xf numFmtId="49" fontId="3" fillId="0" borderId="0" xfId="0" applyNumberFormat="1" applyFont="1" applyAlignment="1">
      <alignment horizontal="center"/>
    </xf>
    <xf numFmtId="10" fontId="0" fillId="0" borderId="0" xfId="0" applyNumberFormat="1"/>
    <xf numFmtId="0" fontId="2" fillId="6" borderId="0" xfId="0" applyFont="1" applyFill="1" applyAlignment="1">
      <alignment horizontal="center" vertical="top"/>
    </xf>
    <xf numFmtId="49" fontId="2" fillId="6" borderId="0" xfId="0" applyNumberFormat="1" applyFont="1" applyFill="1" applyAlignment="1">
      <alignment horizontal="center" vertical="top"/>
    </xf>
    <xf numFmtId="2" fontId="2" fillId="6" borderId="0" xfId="0" applyNumberFormat="1" applyFont="1" applyFill="1" applyAlignment="1">
      <alignment horizontal="center" vertical="top"/>
    </xf>
    <xf numFmtId="9" fontId="2" fillId="6" borderId="0" xfId="0" applyNumberFormat="1" applyFont="1" applyFill="1" applyAlignment="1">
      <alignment horizontal="center" vertical="top"/>
    </xf>
    <xf numFmtId="49" fontId="0" fillId="6" borderId="0" xfId="0" applyNumberFormat="1" applyFill="1" applyAlignment="1">
      <alignment horizontal="center" wrapText="1"/>
    </xf>
    <xf numFmtId="49" fontId="0" fillId="6" borderId="0" xfId="0" applyNumberFormat="1" applyFill="1" applyAlignment="1">
      <alignment horizontal="center"/>
    </xf>
    <xf numFmtId="14" fontId="0" fillId="6" borderId="0" xfId="0" applyNumberFormat="1" applyFill="1" applyAlignment="1">
      <alignment horizontal="center"/>
    </xf>
    <xf numFmtId="1" fontId="0" fillId="6" borderId="0" xfId="0" applyNumberFormat="1" applyFill="1" applyAlignment="1">
      <alignment horizontal="center"/>
    </xf>
    <xf numFmtId="9" fontId="0" fillId="6" borderId="0" xfId="0" applyNumberFormat="1" applyFill="1" applyAlignment="1">
      <alignment horizontal="center"/>
    </xf>
    <xf numFmtId="0" fontId="4" fillId="6" borderId="0" xfId="0" applyFont="1" applyFill="1" applyAlignment="1">
      <alignment wrapText="1"/>
    </xf>
    <xf numFmtId="9" fontId="0" fillId="0" borderId="0" xfId="0" applyNumberFormat="1" applyAlignment="1">
      <alignment horizontal="center" vertical="center"/>
    </xf>
    <xf numFmtId="0" fontId="0" fillId="0" borderId="0" xfId="0" pivotButton="1" applyAlignment="1">
      <alignment horizontal="center"/>
    </xf>
    <xf numFmtId="0" fontId="2" fillId="4" borderId="11" xfId="0" applyFont="1" applyFill="1" applyBorder="1" applyAlignment="1">
      <alignment horizontal="center"/>
    </xf>
    <xf numFmtId="1" fontId="2" fillId="4" borderId="11" xfId="0" applyNumberFormat="1" applyFont="1" applyFill="1" applyBorder="1" applyAlignment="1">
      <alignment horizontal="center"/>
    </xf>
    <xf numFmtId="0" fontId="4" fillId="0" borderId="0" xfId="0" applyFont="1" applyAlignment="1">
      <alignment horizontal="center" vertical="center"/>
    </xf>
    <xf numFmtId="0" fontId="2" fillId="0" borderId="2" xfId="0" applyFont="1" applyBorder="1" applyAlignment="1">
      <alignment horizontal="center" vertical="center"/>
    </xf>
    <xf numFmtId="165" fontId="0" fillId="0" borderId="0" xfId="0" applyNumberFormat="1"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1" fontId="2" fillId="4" borderId="11" xfId="0" applyNumberFormat="1" applyFont="1" applyFill="1" applyBorder="1" applyAlignment="1">
      <alignment horizontal="center" vertical="center"/>
    </xf>
    <xf numFmtId="0" fontId="17" fillId="0" borderId="1" xfId="0" applyFont="1" applyBorder="1" applyAlignment="1">
      <alignment horizontal="center" vertical="center" wrapText="1"/>
    </xf>
    <xf numFmtId="0" fontId="0" fillId="0" borderId="1" xfId="0" applyBorder="1" applyAlignment="1">
      <alignment horizontal="center" vertical="center" wrapText="1"/>
    </xf>
    <xf numFmtId="0" fontId="17"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0" xfId="0" applyFont="1" applyFill="1" applyBorder="1" applyAlignment="1">
      <alignment horizontal="center" vertical="center" wrapText="1"/>
    </xf>
    <xf numFmtId="0" fontId="13" fillId="3" borderId="3"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8" xfId="0" applyFont="1" applyFill="1" applyBorder="1" applyAlignment="1">
      <alignment horizontal="center" vertical="center"/>
    </xf>
    <xf numFmtId="0" fontId="17" fillId="0" borderId="2" xfId="0" applyFont="1" applyBorder="1" applyAlignment="1">
      <alignment horizontal="center" vertical="center" wrapText="1"/>
    </xf>
    <xf numFmtId="0" fontId="0" fillId="0" borderId="2" xfId="0" applyBorder="1" applyAlignment="1">
      <alignment horizontal="center" vertical="center" wrapText="1"/>
    </xf>
    <xf numFmtId="0" fontId="6"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0" xfId="0" applyFont="1" applyFill="1" applyAlignment="1">
      <alignment horizontal="center" vertical="center"/>
    </xf>
    <xf numFmtId="0" fontId="5" fillId="3" borderId="10"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11" fillId="0" borderId="3"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6" fillId="5" borderId="3" xfId="0" applyFont="1" applyFill="1" applyBorder="1" applyAlignment="1">
      <alignment horizontal="center" vertical="center"/>
    </xf>
    <xf numFmtId="0" fontId="16" fillId="5" borderId="5" xfId="0" applyFont="1" applyFill="1" applyBorder="1" applyAlignment="1">
      <alignment horizontal="center" vertical="center"/>
    </xf>
    <xf numFmtId="0" fontId="16" fillId="5" borderId="9" xfId="0" applyFont="1" applyFill="1" applyBorder="1" applyAlignment="1">
      <alignment horizontal="center" vertical="center"/>
    </xf>
    <xf numFmtId="0" fontId="16" fillId="5" borderId="10" xfId="0" applyFont="1" applyFill="1" applyBorder="1" applyAlignment="1">
      <alignment horizontal="center" vertical="center"/>
    </xf>
    <xf numFmtId="0" fontId="19" fillId="8" borderId="13" xfId="0" applyFont="1" applyFill="1" applyBorder="1" applyAlignment="1">
      <alignment horizontal="center" vertical="center" wrapText="1"/>
    </xf>
    <xf numFmtId="0" fontId="19" fillId="8" borderId="14" xfId="0" applyFont="1" applyFill="1" applyBorder="1" applyAlignment="1">
      <alignment horizontal="center" vertical="center" wrapText="1"/>
    </xf>
    <xf numFmtId="0" fontId="18" fillId="7" borderId="15" xfId="0" applyFont="1" applyFill="1" applyBorder="1" applyAlignment="1">
      <alignment horizontal="center" vertical="center" wrapText="1"/>
    </xf>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wrapText="1"/>
    </xf>
    <xf numFmtId="0" fontId="18" fillId="7" borderId="18" xfId="0" applyFont="1" applyFill="1" applyBorder="1" applyAlignment="1">
      <alignment horizontal="center" vertical="center" wrapText="1"/>
    </xf>
    <xf numFmtId="0" fontId="18" fillId="7" borderId="0" xfId="0" applyFont="1" applyFill="1" applyAlignment="1">
      <alignment horizontal="center" vertical="center" wrapText="1"/>
    </xf>
    <xf numFmtId="0" fontId="18" fillId="7" borderId="19" xfId="0" applyFont="1" applyFill="1" applyBorder="1" applyAlignment="1">
      <alignment horizontal="center" vertical="center" wrapText="1"/>
    </xf>
    <xf numFmtId="0" fontId="18" fillId="7" borderId="20" xfId="0" applyFont="1" applyFill="1" applyBorder="1" applyAlignment="1">
      <alignment horizontal="center" vertical="center" wrapText="1"/>
    </xf>
    <xf numFmtId="0" fontId="18" fillId="7" borderId="21" xfId="0" applyFont="1" applyFill="1" applyBorder="1" applyAlignment="1">
      <alignment horizontal="center" vertical="center" wrapText="1"/>
    </xf>
    <xf numFmtId="0" fontId="18" fillId="7" borderId="22"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20" fillId="8" borderId="5"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13" fillId="8" borderId="0" xfId="0" applyFont="1" applyFill="1" applyAlignment="1">
      <alignment horizontal="center" vertical="center"/>
    </xf>
    <xf numFmtId="0" fontId="0" fillId="0" borderId="3" xfId="0" applyBorder="1" applyAlignment="1">
      <alignment horizontal="center" vertical="center" wrapText="1"/>
    </xf>
    <xf numFmtId="0" fontId="4" fillId="2" borderId="0" xfId="0" applyFont="1" applyFill="1" applyAlignment="1">
      <alignment horizontal="center" vertical="center" wrapText="1"/>
    </xf>
    <xf numFmtId="49"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9" fontId="2" fillId="0" borderId="1" xfId="0" applyNumberFormat="1" applyFont="1" applyBorder="1" applyAlignment="1">
      <alignment horizontal="center" vertical="center"/>
    </xf>
    <xf numFmtId="0" fontId="1" fillId="0" borderId="3" xfId="0" applyFont="1" applyBorder="1" applyAlignment="1">
      <alignment horizontal="center" vertical="center" wrapText="1"/>
    </xf>
  </cellXfs>
  <cellStyles count="1">
    <cellStyle name="Normal" xfId="0" builtinId="0"/>
  </cellStyles>
  <dxfs count="16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006100"/>
      </font>
      <fill>
        <patternFill>
          <bgColor rgb="FFC6EFCE"/>
        </patternFill>
      </fill>
    </dxf>
    <dxf>
      <font>
        <color rgb="FF9C0006"/>
      </font>
      <fill>
        <patternFill>
          <bgColor rgb="FFFFC7CE"/>
        </patternFill>
      </fill>
    </dxf>
    <dxf>
      <font>
        <color theme="0"/>
      </font>
      <fill>
        <patternFill patternType="solid">
          <bgColor theme="4" tint="-0.499984740745262"/>
        </patternFill>
      </fill>
    </dxf>
    <dxf>
      <font>
        <color theme="0"/>
      </font>
      <fill>
        <patternFill patternType="solid">
          <bgColor theme="4" tint="-0.499984740745262"/>
        </patternFill>
      </fill>
    </dxf>
    <dxf>
      <font>
        <color theme="0"/>
      </font>
      <fill>
        <patternFill patternType="solid">
          <bgColor theme="4" tint="-0.499984740745262"/>
        </patternFill>
      </fill>
    </dxf>
    <dxf>
      <font>
        <color theme="0"/>
      </font>
      <fill>
        <patternFill patternType="solid">
          <bgColor theme="4" tint="-0.499984740745262"/>
        </patternFill>
      </fill>
    </dxf>
    <dxf>
      <font>
        <color theme="0"/>
      </font>
      <fill>
        <patternFill patternType="solid">
          <bgColor theme="4" tint="-0.499984740745262"/>
        </patternFill>
      </fill>
    </dxf>
    <dxf>
      <font>
        <color rgb="FF006100"/>
      </font>
      <fill>
        <patternFill>
          <bgColor rgb="FFC6EFCE"/>
        </patternFill>
      </fill>
    </dxf>
    <dxf>
      <font>
        <color theme="0"/>
      </font>
      <fill>
        <patternFill patternType="solid">
          <bgColor theme="4" tint="-0.499984740745262"/>
        </patternFill>
      </fill>
    </dxf>
    <dxf>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Project.xlsx]Engagement Analysis Task-2!PivotTable1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Likes, Shares, Comments by Content Type &amp; Platform </a:t>
            </a:r>
          </a:p>
        </c:rich>
      </c:tx>
      <c:layout>
        <c:manualLayout>
          <c:xMode val="edge"/>
          <c:yMode val="edge"/>
          <c:x val="0.11561503601923344"/>
          <c:y val="1.1864406779661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9702438001402979E-2"/>
              <c:y val="3.2412456622926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268227162997426"/>
              <c:y val="3.0606954086328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125045272227211"/>
              <c:y val="8.48971874074658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4733088385463914E-2"/>
              <c:y val="-3.0291631383445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147280666854158"/>
              <c:y val="-5.2443927854437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0964596732777778E-2"/>
              <c:y val="-7.240406636833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'Engagement Analysis Task-2'!$B$43</c:f>
              <c:strCache>
                <c:ptCount val="1"/>
                <c:pt idx="0">
                  <c:v>Sum of Likes</c:v>
                </c:pt>
              </c:strCache>
            </c:strRef>
          </c:tx>
          <c:dPt>
            <c:idx val="0"/>
            <c:bubble3D val="0"/>
            <c:spPr>
              <a:solidFill>
                <a:schemeClr val="accent1"/>
              </a:solidFill>
              <a:ln>
                <a:noFill/>
              </a:ln>
              <a:effectLst/>
            </c:spPr>
            <c:extLst>
              <c:ext xmlns:c16="http://schemas.microsoft.com/office/drawing/2014/chart" uri="{C3380CC4-5D6E-409C-BE32-E72D297353CC}">
                <c16:uniqueId val="{00000009-535C-4B34-9128-5A5B2D14340B}"/>
              </c:ext>
            </c:extLst>
          </c:dPt>
          <c:dPt>
            <c:idx val="1"/>
            <c:bubble3D val="0"/>
            <c:spPr>
              <a:solidFill>
                <a:schemeClr val="accent2"/>
              </a:solidFill>
              <a:ln>
                <a:noFill/>
              </a:ln>
              <a:effectLst/>
            </c:spPr>
            <c:extLst>
              <c:ext xmlns:c16="http://schemas.microsoft.com/office/drawing/2014/chart" uri="{C3380CC4-5D6E-409C-BE32-E72D297353CC}">
                <c16:uniqueId val="{0000000A-535C-4B34-9128-5A5B2D14340B}"/>
              </c:ext>
            </c:extLst>
          </c:dPt>
          <c:dPt>
            <c:idx val="2"/>
            <c:bubble3D val="0"/>
            <c:spPr>
              <a:solidFill>
                <a:schemeClr val="accent3"/>
              </a:solidFill>
              <a:ln>
                <a:noFill/>
              </a:ln>
              <a:effectLst/>
            </c:spPr>
            <c:extLst>
              <c:ext xmlns:c16="http://schemas.microsoft.com/office/drawing/2014/chart" uri="{C3380CC4-5D6E-409C-BE32-E72D297353CC}">
                <c16:uniqueId val="{0000000C-535C-4B34-9128-5A5B2D14340B}"/>
              </c:ext>
            </c:extLst>
          </c:dPt>
          <c:dPt>
            <c:idx val="3"/>
            <c:bubble3D val="0"/>
            <c:spPr>
              <a:solidFill>
                <a:schemeClr val="accent4"/>
              </a:solidFill>
              <a:ln>
                <a:noFill/>
              </a:ln>
              <a:effectLst/>
            </c:spPr>
            <c:extLst>
              <c:ext xmlns:c16="http://schemas.microsoft.com/office/drawing/2014/chart" uri="{C3380CC4-5D6E-409C-BE32-E72D297353CC}">
                <c16:uniqueId val="{0000000B-535C-4B34-9128-5A5B2D14340B}"/>
              </c:ext>
            </c:extLst>
          </c:dPt>
          <c:dPt>
            <c:idx val="4"/>
            <c:bubble3D val="0"/>
            <c:spPr>
              <a:solidFill>
                <a:schemeClr val="accent5"/>
              </a:solidFill>
              <a:ln>
                <a:noFill/>
              </a:ln>
              <a:effectLst/>
            </c:spPr>
            <c:extLst>
              <c:ext xmlns:c16="http://schemas.microsoft.com/office/drawing/2014/chart" uri="{C3380CC4-5D6E-409C-BE32-E72D297353CC}">
                <c16:uniqueId val="{00000007-535C-4B34-9128-5A5B2D14340B}"/>
              </c:ext>
            </c:extLst>
          </c:dPt>
          <c:dPt>
            <c:idx val="5"/>
            <c:bubble3D val="0"/>
            <c:spPr>
              <a:solidFill>
                <a:schemeClr val="accent6"/>
              </a:solidFill>
              <a:ln>
                <a:noFill/>
              </a:ln>
              <a:effectLst/>
            </c:spPr>
            <c:extLst>
              <c:ext xmlns:c16="http://schemas.microsoft.com/office/drawing/2014/chart" uri="{C3380CC4-5D6E-409C-BE32-E72D297353CC}">
                <c16:uniqueId val="{00000008-535C-4B34-9128-5A5B2D14340B}"/>
              </c:ext>
            </c:extLst>
          </c:dPt>
          <c:dLbls>
            <c:dLbl>
              <c:idx val="0"/>
              <c:layout>
                <c:manualLayout>
                  <c:x val="0.1125045272227211"/>
                  <c:y val="8.4897187407465893E-3"/>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9-535C-4B34-9128-5A5B2D14340B}"/>
                </c:ext>
              </c:extLst>
            </c:dLbl>
            <c:dLbl>
              <c:idx val="1"/>
              <c:layout>
                <c:manualLayout>
                  <c:x val="7.4733088385463914E-2"/>
                  <c:y val="-3.029163138344562E-3"/>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A-535C-4B34-9128-5A5B2D14340B}"/>
                </c:ext>
              </c:extLst>
            </c:dLbl>
            <c:dLbl>
              <c:idx val="2"/>
              <c:layout>
                <c:manualLayout>
                  <c:x val="9.0964596732777778E-2"/>
                  <c:y val="-7.240406636833846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C-535C-4B34-9128-5A5B2D14340B}"/>
                </c:ext>
              </c:extLst>
            </c:dLbl>
            <c:dLbl>
              <c:idx val="3"/>
              <c:layout>
                <c:manualLayout>
                  <c:x val="-0.1147280666854158"/>
                  <c:y val="-5.2443927854437869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B-535C-4B34-9128-5A5B2D14340B}"/>
                </c:ext>
              </c:extLst>
            </c:dLbl>
            <c:dLbl>
              <c:idx val="4"/>
              <c:layout>
                <c:manualLayout>
                  <c:x val="-9.9702438001402979E-2"/>
                  <c:y val="3.2412456622926189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7-535C-4B34-9128-5A5B2D14340B}"/>
                </c:ext>
              </c:extLst>
            </c:dLbl>
            <c:dLbl>
              <c:idx val="5"/>
              <c:layout>
                <c:manualLayout>
                  <c:x val="-0.19268227162997426"/>
                  <c:y val="3.0606954086328391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8-535C-4B34-9128-5A5B2D1434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'Engagement Analysis Task-2'!$A$44:$A$50</c:f>
              <c:strCache>
                <c:ptCount val="6"/>
                <c:pt idx="0">
                  <c:v>Carousel</c:v>
                </c:pt>
                <c:pt idx="1">
                  <c:v>Image</c:v>
                </c:pt>
                <c:pt idx="2">
                  <c:v>Reel</c:v>
                </c:pt>
                <c:pt idx="3">
                  <c:v>Story</c:v>
                </c:pt>
                <c:pt idx="4">
                  <c:v>Text</c:v>
                </c:pt>
                <c:pt idx="5">
                  <c:v>Video</c:v>
                </c:pt>
              </c:strCache>
            </c:strRef>
          </c:cat>
          <c:val>
            <c:numRef>
              <c:f>'Engagement Analysis Task-2'!$B$44:$B$50</c:f>
              <c:numCache>
                <c:formatCode>0</c:formatCode>
                <c:ptCount val="6"/>
                <c:pt idx="0">
                  <c:v>24926</c:v>
                </c:pt>
                <c:pt idx="1">
                  <c:v>23903</c:v>
                </c:pt>
                <c:pt idx="2">
                  <c:v>32400</c:v>
                </c:pt>
                <c:pt idx="3">
                  <c:v>31968</c:v>
                </c:pt>
                <c:pt idx="4">
                  <c:v>27067</c:v>
                </c:pt>
                <c:pt idx="5">
                  <c:v>31285</c:v>
                </c:pt>
              </c:numCache>
            </c:numRef>
          </c:val>
          <c:extLst>
            <c:ext xmlns:c16="http://schemas.microsoft.com/office/drawing/2014/chart" uri="{C3380CC4-5D6E-409C-BE32-E72D297353CC}">
              <c16:uniqueId val="{00000000-535C-4B34-9128-5A5B2D14340B}"/>
            </c:ext>
          </c:extLst>
        </c:ser>
        <c:ser>
          <c:idx val="1"/>
          <c:order val="1"/>
          <c:tx>
            <c:strRef>
              <c:f>'Engagement Analysis Task-2'!$C$43</c:f>
              <c:strCache>
                <c:ptCount val="1"/>
                <c:pt idx="0">
                  <c:v>Sum of Shares</c:v>
                </c:pt>
              </c:strCache>
            </c:strRef>
          </c:tx>
          <c:dPt>
            <c:idx val="0"/>
            <c:bubble3D val="0"/>
            <c:spPr>
              <a:solidFill>
                <a:schemeClr val="accent1"/>
              </a:solidFill>
              <a:ln>
                <a:noFill/>
              </a:ln>
              <a:effectLst/>
            </c:spPr>
            <c:extLst>
              <c:ext xmlns:c16="http://schemas.microsoft.com/office/drawing/2014/chart" uri="{C3380CC4-5D6E-409C-BE32-E72D297353CC}">
                <c16:uniqueId val="{0000000D-796A-4A83-9B06-1160EF584FD9}"/>
              </c:ext>
            </c:extLst>
          </c:dPt>
          <c:dPt>
            <c:idx val="1"/>
            <c:bubble3D val="0"/>
            <c:spPr>
              <a:solidFill>
                <a:schemeClr val="accent2"/>
              </a:solidFill>
              <a:ln>
                <a:noFill/>
              </a:ln>
              <a:effectLst/>
            </c:spPr>
            <c:extLst>
              <c:ext xmlns:c16="http://schemas.microsoft.com/office/drawing/2014/chart" uri="{C3380CC4-5D6E-409C-BE32-E72D297353CC}">
                <c16:uniqueId val="{0000000F-796A-4A83-9B06-1160EF584FD9}"/>
              </c:ext>
            </c:extLst>
          </c:dPt>
          <c:dPt>
            <c:idx val="2"/>
            <c:bubble3D val="0"/>
            <c:spPr>
              <a:solidFill>
                <a:schemeClr val="accent3"/>
              </a:solidFill>
              <a:ln>
                <a:noFill/>
              </a:ln>
              <a:effectLst/>
            </c:spPr>
            <c:extLst>
              <c:ext xmlns:c16="http://schemas.microsoft.com/office/drawing/2014/chart" uri="{C3380CC4-5D6E-409C-BE32-E72D297353CC}">
                <c16:uniqueId val="{00000011-796A-4A83-9B06-1160EF584FD9}"/>
              </c:ext>
            </c:extLst>
          </c:dPt>
          <c:dPt>
            <c:idx val="3"/>
            <c:bubble3D val="0"/>
            <c:spPr>
              <a:solidFill>
                <a:schemeClr val="accent4"/>
              </a:solidFill>
              <a:ln>
                <a:noFill/>
              </a:ln>
              <a:effectLst/>
            </c:spPr>
            <c:extLst>
              <c:ext xmlns:c16="http://schemas.microsoft.com/office/drawing/2014/chart" uri="{C3380CC4-5D6E-409C-BE32-E72D297353CC}">
                <c16:uniqueId val="{00000013-796A-4A83-9B06-1160EF584FD9}"/>
              </c:ext>
            </c:extLst>
          </c:dPt>
          <c:dPt>
            <c:idx val="4"/>
            <c:bubble3D val="0"/>
            <c:spPr>
              <a:solidFill>
                <a:schemeClr val="accent5"/>
              </a:solidFill>
              <a:ln>
                <a:noFill/>
              </a:ln>
              <a:effectLst/>
            </c:spPr>
            <c:extLst>
              <c:ext xmlns:c16="http://schemas.microsoft.com/office/drawing/2014/chart" uri="{C3380CC4-5D6E-409C-BE32-E72D297353CC}">
                <c16:uniqueId val="{00000015-796A-4A83-9B06-1160EF584FD9}"/>
              </c:ext>
            </c:extLst>
          </c:dPt>
          <c:dPt>
            <c:idx val="5"/>
            <c:bubble3D val="0"/>
            <c:spPr>
              <a:solidFill>
                <a:schemeClr val="accent6"/>
              </a:solidFill>
              <a:ln>
                <a:noFill/>
              </a:ln>
              <a:effectLst/>
            </c:spPr>
            <c:extLst>
              <c:ext xmlns:c16="http://schemas.microsoft.com/office/drawing/2014/chart" uri="{C3380CC4-5D6E-409C-BE32-E72D297353CC}">
                <c16:uniqueId val="{00000017-796A-4A83-9B06-1160EF584FD9}"/>
              </c:ext>
            </c:extLst>
          </c:dPt>
          <c:cat>
            <c:strRef>
              <c:f>'Engagement Analysis Task-2'!$A$44:$A$50</c:f>
              <c:strCache>
                <c:ptCount val="6"/>
                <c:pt idx="0">
                  <c:v>Carousel</c:v>
                </c:pt>
                <c:pt idx="1">
                  <c:v>Image</c:v>
                </c:pt>
                <c:pt idx="2">
                  <c:v>Reel</c:v>
                </c:pt>
                <c:pt idx="3">
                  <c:v>Story</c:v>
                </c:pt>
                <c:pt idx="4">
                  <c:v>Text</c:v>
                </c:pt>
                <c:pt idx="5">
                  <c:v>Video</c:v>
                </c:pt>
              </c:strCache>
            </c:strRef>
          </c:cat>
          <c:val>
            <c:numRef>
              <c:f>'Engagement Analysis Task-2'!$C$44:$C$50</c:f>
              <c:numCache>
                <c:formatCode>0</c:formatCode>
                <c:ptCount val="6"/>
                <c:pt idx="0">
                  <c:v>6305</c:v>
                </c:pt>
                <c:pt idx="1">
                  <c:v>4310</c:v>
                </c:pt>
                <c:pt idx="2">
                  <c:v>4577</c:v>
                </c:pt>
                <c:pt idx="3">
                  <c:v>3866</c:v>
                </c:pt>
                <c:pt idx="4">
                  <c:v>3928</c:v>
                </c:pt>
                <c:pt idx="5">
                  <c:v>5586</c:v>
                </c:pt>
              </c:numCache>
            </c:numRef>
          </c:val>
          <c:extLst>
            <c:ext xmlns:c16="http://schemas.microsoft.com/office/drawing/2014/chart" uri="{C3380CC4-5D6E-409C-BE32-E72D297353CC}">
              <c16:uniqueId val="{00000002-535C-4B34-9128-5A5B2D14340B}"/>
            </c:ext>
          </c:extLst>
        </c:ser>
        <c:ser>
          <c:idx val="2"/>
          <c:order val="2"/>
          <c:tx>
            <c:strRef>
              <c:f>'Engagement Analysis Task-2'!$D$43</c:f>
              <c:strCache>
                <c:ptCount val="1"/>
                <c:pt idx="0">
                  <c:v>Sum of Comments</c:v>
                </c:pt>
              </c:strCache>
            </c:strRef>
          </c:tx>
          <c:dPt>
            <c:idx val="0"/>
            <c:bubble3D val="0"/>
            <c:spPr>
              <a:solidFill>
                <a:schemeClr val="accent1"/>
              </a:solidFill>
              <a:ln>
                <a:noFill/>
              </a:ln>
              <a:effectLst/>
            </c:spPr>
            <c:extLst>
              <c:ext xmlns:c16="http://schemas.microsoft.com/office/drawing/2014/chart" uri="{C3380CC4-5D6E-409C-BE32-E72D297353CC}">
                <c16:uniqueId val="{00000019-796A-4A83-9B06-1160EF584FD9}"/>
              </c:ext>
            </c:extLst>
          </c:dPt>
          <c:dPt>
            <c:idx val="1"/>
            <c:bubble3D val="0"/>
            <c:spPr>
              <a:solidFill>
                <a:schemeClr val="accent2"/>
              </a:solidFill>
              <a:ln>
                <a:noFill/>
              </a:ln>
              <a:effectLst/>
            </c:spPr>
            <c:extLst>
              <c:ext xmlns:c16="http://schemas.microsoft.com/office/drawing/2014/chart" uri="{C3380CC4-5D6E-409C-BE32-E72D297353CC}">
                <c16:uniqueId val="{0000001B-796A-4A83-9B06-1160EF584FD9}"/>
              </c:ext>
            </c:extLst>
          </c:dPt>
          <c:dPt>
            <c:idx val="2"/>
            <c:bubble3D val="0"/>
            <c:spPr>
              <a:solidFill>
                <a:schemeClr val="accent3"/>
              </a:solidFill>
              <a:ln>
                <a:noFill/>
              </a:ln>
              <a:effectLst/>
            </c:spPr>
            <c:extLst>
              <c:ext xmlns:c16="http://schemas.microsoft.com/office/drawing/2014/chart" uri="{C3380CC4-5D6E-409C-BE32-E72D297353CC}">
                <c16:uniqueId val="{0000001D-796A-4A83-9B06-1160EF584FD9}"/>
              </c:ext>
            </c:extLst>
          </c:dPt>
          <c:dPt>
            <c:idx val="3"/>
            <c:bubble3D val="0"/>
            <c:spPr>
              <a:solidFill>
                <a:schemeClr val="accent4"/>
              </a:solidFill>
              <a:ln>
                <a:noFill/>
              </a:ln>
              <a:effectLst/>
            </c:spPr>
            <c:extLst>
              <c:ext xmlns:c16="http://schemas.microsoft.com/office/drawing/2014/chart" uri="{C3380CC4-5D6E-409C-BE32-E72D297353CC}">
                <c16:uniqueId val="{0000001F-796A-4A83-9B06-1160EF584FD9}"/>
              </c:ext>
            </c:extLst>
          </c:dPt>
          <c:dPt>
            <c:idx val="4"/>
            <c:bubble3D val="0"/>
            <c:spPr>
              <a:solidFill>
                <a:schemeClr val="accent5"/>
              </a:solidFill>
              <a:ln>
                <a:noFill/>
              </a:ln>
              <a:effectLst/>
            </c:spPr>
            <c:extLst>
              <c:ext xmlns:c16="http://schemas.microsoft.com/office/drawing/2014/chart" uri="{C3380CC4-5D6E-409C-BE32-E72D297353CC}">
                <c16:uniqueId val="{00000021-796A-4A83-9B06-1160EF584FD9}"/>
              </c:ext>
            </c:extLst>
          </c:dPt>
          <c:dPt>
            <c:idx val="5"/>
            <c:bubble3D val="0"/>
            <c:spPr>
              <a:solidFill>
                <a:schemeClr val="accent6"/>
              </a:solidFill>
              <a:ln>
                <a:noFill/>
              </a:ln>
              <a:effectLst/>
            </c:spPr>
            <c:extLst>
              <c:ext xmlns:c16="http://schemas.microsoft.com/office/drawing/2014/chart" uri="{C3380CC4-5D6E-409C-BE32-E72D297353CC}">
                <c16:uniqueId val="{00000023-796A-4A83-9B06-1160EF584FD9}"/>
              </c:ext>
            </c:extLst>
          </c:dPt>
          <c:cat>
            <c:strRef>
              <c:f>'Engagement Analysis Task-2'!$A$44:$A$50</c:f>
              <c:strCache>
                <c:ptCount val="6"/>
                <c:pt idx="0">
                  <c:v>Carousel</c:v>
                </c:pt>
                <c:pt idx="1">
                  <c:v>Image</c:v>
                </c:pt>
                <c:pt idx="2">
                  <c:v>Reel</c:v>
                </c:pt>
                <c:pt idx="3">
                  <c:v>Story</c:v>
                </c:pt>
                <c:pt idx="4">
                  <c:v>Text</c:v>
                </c:pt>
                <c:pt idx="5">
                  <c:v>Video</c:v>
                </c:pt>
              </c:strCache>
            </c:strRef>
          </c:cat>
          <c:val>
            <c:numRef>
              <c:f>'Engagement Analysis Task-2'!$D$44:$D$50</c:f>
              <c:numCache>
                <c:formatCode>0</c:formatCode>
                <c:ptCount val="6"/>
                <c:pt idx="0">
                  <c:v>2422</c:v>
                </c:pt>
                <c:pt idx="1">
                  <c:v>2077</c:v>
                </c:pt>
                <c:pt idx="2">
                  <c:v>2668</c:v>
                </c:pt>
                <c:pt idx="3">
                  <c:v>2012</c:v>
                </c:pt>
                <c:pt idx="4">
                  <c:v>1052</c:v>
                </c:pt>
                <c:pt idx="5">
                  <c:v>2589</c:v>
                </c:pt>
              </c:numCache>
            </c:numRef>
          </c:val>
          <c:extLst>
            <c:ext xmlns:c16="http://schemas.microsoft.com/office/drawing/2014/chart" uri="{C3380CC4-5D6E-409C-BE32-E72D297353CC}">
              <c16:uniqueId val="{00000004-535C-4B34-9128-5A5B2D14340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Project.xlsx]Engagement Analysis Task-2!PivotTable4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engagement rate per platform</a:t>
            </a:r>
          </a:p>
        </c:rich>
      </c:tx>
      <c:layout>
        <c:manualLayout>
          <c:xMode val="edge"/>
          <c:yMode val="edge"/>
          <c:x val="0.23455137322352268"/>
          <c:y val="1.5803847975561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'Engagement Analysis Task-2'!$B$1</c:f>
              <c:strCache>
                <c:ptCount val="1"/>
                <c:pt idx="0">
                  <c:v>Total</c:v>
                </c:pt>
              </c:strCache>
            </c:strRef>
          </c:tx>
          <c:spPr>
            <a:solidFill>
              <a:srgbClr val="DA96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 Task-2'!$A$2:$A$6</c:f>
              <c:strCache>
                <c:ptCount val="4"/>
                <c:pt idx="0">
                  <c:v>Facebook</c:v>
                </c:pt>
                <c:pt idx="1">
                  <c:v>Instagram</c:v>
                </c:pt>
                <c:pt idx="2">
                  <c:v>Twitter</c:v>
                </c:pt>
                <c:pt idx="3">
                  <c:v>YouTube</c:v>
                </c:pt>
              </c:strCache>
            </c:strRef>
          </c:cat>
          <c:val>
            <c:numRef>
              <c:f>'Engagement Analysis Task-2'!$B$2:$B$6</c:f>
              <c:numCache>
                <c:formatCode>0.00%</c:formatCode>
                <c:ptCount val="4"/>
                <c:pt idx="0">
                  <c:v>0.12197289956132557</c:v>
                </c:pt>
                <c:pt idx="1">
                  <c:v>0.19329257693923488</c:v>
                </c:pt>
                <c:pt idx="2">
                  <c:v>0.14368407434207892</c:v>
                </c:pt>
                <c:pt idx="3">
                  <c:v>0.13118493770753806</c:v>
                </c:pt>
              </c:numCache>
            </c:numRef>
          </c:val>
          <c:extLst>
            <c:ext xmlns:c16="http://schemas.microsoft.com/office/drawing/2014/chart" uri="{C3380CC4-5D6E-409C-BE32-E72D297353CC}">
              <c16:uniqueId val="{00000000-A6A3-4230-80D8-0477C8965FD0}"/>
            </c:ext>
          </c:extLst>
        </c:ser>
        <c:dLbls>
          <c:showLegendKey val="0"/>
          <c:showVal val="0"/>
          <c:showCatName val="0"/>
          <c:showSerName val="0"/>
          <c:showPercent val="0"/>
          <c:showBubbleSize val="0"/>
        </c:dLbls>
        <c:gapWidth val="150"/>
        <c:overlap val="100"/>
        <c:axId val="497197575"/>
        <c:axId val="497199623"/>
      </c:barChart>
      <c:catAx>
        <c:axId val="497197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99623"/>
        <c:crosses val="autoZero"/>
        <c:auto val="1"/>
        <c:lblAlgn val="ctr"/>
        <c:lblOffset val="100"/>
        <c:noMultiLvlLbl val="0"/>
      </c:catAx>
      <c:valAx>
        <c:axId val="497199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97575"/>
        <c:crosses val="autoZero"/>
        <c:crossBetween val="between"/>
      </c:valAx>
      <c:dTable>
        <c:showHorzBorder val="1"/>
        <c:showVertBorder val="1"/>
        <c:showOutline val="1"/>
        <c:showKeys val="1"/>
        <c:spPr>
          <a:solidFill>
            <a:srgbClr val="FFFFFF"/>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Project.xlsx]Engagement Analysis Task-2!PivotTable2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Clicks per post by Hashtag</a:t>
            </a:r>
          </a:p>
        </c:rich>
      </c:tx>
      <c:layout>
        <c:manualLayout>
          <c:xMode val="edge"/>
          <c:yMode val="edge"/>
          <c:x val="0.2633963315539824"/>
          <c:y val="7.97870717150099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30499145717916309"/>
              <c:y val="-0.10425530291618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445789435644347"/>
              <c:y val="6.38296249064993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3924268502581764"/>
              <c:y val="0.10691492608252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6196211324091007"/>
              <c:y val="-7.12765795119264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4096385542168675"/>
              <c:y val="2.6595744680851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580034423407922"/>
              <c:y val="0.14734049046293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5714284663766673"/>
              <c:y val="-0.14468085106382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'Engagement Analysis Task-2'!$B$65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1C2-44CC-B46D-4B30307F3E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1C2-44CC-B46D-4B30307F3E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4CC-B46D-4B30307F3E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11C2-44CC-B46D-4B30307F3E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11C2-44CC-B46D-4B30307F3E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11C2-44CC-B46D-4B30307F3E6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11C2-44CC-B46D-4B30307F3E69}"/>
              </c:ext>
            </c:extLst>
          </c:dPt>
          <c:dLbls>
            <c:dLbl>
              <c:idx val="0"/>
              <c:layout>
                <c:manualLayout>
                  <c:x val="0.30499145717916309"/>
                  <c:y val="-0.104255302916181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C2-44CC-B46D-4B30307F3E69}"/>
                </c:ext>
              </c:extLst>
            </c:dLbl>
            <c:dLbl>
              <c:idx val="1"/>
              <c:layout>
                <c:manualLayout>
                  <c:x val="0.21445789435644347"/>
                  <c:y val="6.382962490649933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C2-44CC-B46D-4B30307F3E69}"/>
                </c:ext>
              </c:extLst>
            </c:dLbl>
            <c:dLbl>
              <c:idx val="2"/>
              <c:layout>
                <c:manualLayout>
                  <c:x val="0.23924268502581764"/>
                  <c:y val="0.1069149260825299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C2-44CC-B46D-4B30307F3E69}"/>
                </c:ext>
              </c:extLst>
            </c:dLbl>
            <c:dLbl>
              <c:idx val="3"/>
              <c:layout>
                <c:manualLayout>
                  <c:x val="-0.23580034423407922"/>
                  <c:y val="0.1473404904629321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1C2-44CC-B46D-4B30307F3E69}"/>
                </c:ext>
              </c:extLst>
            </c:dLbl>
            <c:dLbl>
              <c:idx val="4"/>
              <c:layout>
                <c:manualLayout>
                  <c:x val="-0.24096385542168675"/>
                  <c:y val="2.659574468085106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C2-44CC-B46D-4B30307F3E69}"/>
                </c:ext>
              </c:extLst>
            </c:dLbl>
            <c:dLbl>
              <c:idx val="5"/>
              <c:layout>
                <c:manualLayout>
                  <c:x val="-0.26196211324091007"/>
                  <c:y val="-7.12765795119264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C2-44CC-B46D-4B30307F3E69}"/>
                </c:ext>
              </c:extLst>
            </c:dLbl>
            <c:dLbl>
              <c:idx val="6"/>
              <c:layout>
                <c:manualLayout>
                  <c:x val="-0.25714284663766673"/>
                  <c:y val="-0.1446808510638297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C2-44CC-B46D-4B30307F3E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'Engagement Analysis Task-2'!$A$66:$A$73</c:f>
              <c:strCache>
                <c:ptCount val="7"/>
                <c:pt idx="0">
                  <c:v>#AnytimeIsTeslaTime</c:v>
                </c:pt>
                <c:pt idx="1">
                  <c:v>#BetterWithTesla</c:v>
                </c:pt>
                <c:pt idx="2">
                  <c:v>#EVRevolution</c:v>
                </c:pt>
                <c:pt idx="3">
                  <c:v>#FutureOfDriving</c:v>
                </c:pt>
                <c:pt idx="4">
                  <c:v>#SmoothLikeNitroTesla</c:v>
                </c:pt>
                <c:pt idx="5">
                  <c:v>#TeslaCoInnovation</c:v>
                </c:pt>
                <c:pt idx="6">
                  <c:v>(blank)</c:v>
                </c:pt>
              </c:strCache>
            </c:strRef>
          </c:cat>
          <c:val>
            <c:numRef>
              <c:f>'Engagement Analysis Task-2'!$B$66:$B$73</c:f>
              <c:numCache>
                <c:formatCode>0</c:formatCode>
                <c:ptCount val="7"/>
                <c:pt idx="0">
                  <c:v>154</c:v>
                </c:pt>
                <c:pt idx="1">
                  <c:v>238</c:v>
                </c:pt>
                <c:pt idx="2">
                  <c:v>262</c:v>
                </c:pt>
                <c:pt idx="3">
                  <c:v>201</c:v>
                </c:pt>
                <c:pt idx="4">
                  <c:v>148</c:v>
                </c:pt>
                <c:pt idx="5">
                  <c:v>12</c:v>
                </c:pt>
                <c:pt idx="6">
                  <c:v>150.85374149659864</c:v>
                </c:pt>
              </c:numCache>
            </c:numRef>
          </c:val>
          <c:extLst>
            <c:ext xmlns:c16="http://schemas.microsoft.com/office/drawing/2014/chart" uri="{C3380CC4-5D6E-409C-BE32-E72D297353CC}">
              <c16:uniqueId val="{00000000-11C2-44CC-B46D-4B30307F3E69}"/>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Project.xlsx]Platform Analysis task-3!PivotTable4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Platform with highest Engagement</a:t>
            </a:r>
          </a:p>
        </c:rich>
      </c:tx>
      <c:layout>
        <c:manualLayout>
          <c:xMode val="edge"/>
          <c:yMode val="edge"/>
          <c:x val="0.30416375447439381"/>
          <c:y val="1.015873015873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186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'Platform Analysis task-3'!$B$3</c:f>
              <c:strCache>
                <c:ptCount val="1"/>
                <c:pt idx="0">
                  <c:v>Total</c:v>
                </c:pt>
              </c:strCache>
            </c:strRef>
          </c:tx>
          <c:spPr>
            <a:solidFill>
              <a:schemeClr val="accent1"/>
            </a:solidFill>
            <a:ln>
              <a:noFill/>
            </a:ln>
            <a:effectLst/>
          </c:spPr>
          <c:invertIfNegative val="0"/>
          <c:cat>
            <c:strRef>
              <c:f>'Platform Analysis task-3'!$A$4:$A$8</c:f>
              <c:strCache>
                <c:ptCount val="4"/>
                <c:pt idx="0">
                  <c:v>Facebook</c:v>
                </c:pt>
                <c:pt idx="1">
                  <c:v>Instagram</c:v>
                </c:pt>
                <c:pt idx="2">
                  <c:v>Twitter</c:v>
                </c:pt>
                <c:pt idx="3">
                  <c:v>YouTube</c:v>
                </c:pt>
              </c:strCache>
            </c:strRef>
          </c:cat>
          <c:val>
            <c:numRef>
              <c:f>'Platform Analysis task-3'!$B$4:$B$8</c:f>
              <c:numCache>
                <c:formatCode>0.00%</c:formatCode>
                <c:ptCount val="4"/>
                <c:pt idx="0">
                  <c:v>0.12197289956132557</c:v>
                </c:pt>
                <c:pt idx="1">
                  <c:v>0.19329257693923488</c:v>
                </c:pt>
                <c:pt idx="2">
                  <c:v>0.14368407434207892</c:v>
                </c:pt>
                <c:pt idx="3">
                  <c:v>0.13118493770753806</c:v>
                </c:pt>
              </c:numCache>
            </c:numRef>
          </c:val>
          <c:extLst>
            <c:ext xmlns:c16="http://schemas.microsoft.com/office/drawing/2014/chart" uri="{C3380CC4-5D6E-409C-BE32-E72D297353CC}">
              <c16:uniqueId val="{00000001-1767-4A3C-8C6B-B4E7385BAF6C}"/>
            </c:ext>
          </c:extLst>
        </c:ser>
        <c:dLbls>
          <c:showLegendKey val="0"/>
          <c:showVal val="0"/>
          <c:showCatName val="0"/>
          <c:showSerName val="0"/>
          <c:showPercent val="0"/>
          <c:showBubbleSize val="0"/>
        </c:dLbls>
        <c:gapWidth val="219"/>
        <c:overlap val="100"/>
        <c:axId val="399025160"/>
        <c:axId val="399027208"/>
      </c:barChart>
      <c:catAx>
        <c:axId val="399025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27208"/>
        <c:crosses val="autoZero"/>
        <c:auto val="1"/>
        <c:lblAlgn val="ctr"/>
        <c:lblOffset val="100"/>
        <c:noMultiLvlLbl val="0"/>
      </c:catAx>
      <c:valAx>
        <c:axId val="399027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25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Project.xlsx]Platform Analysis task-3!PivotTable1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 growth rates across platforms</a:t>
            </a:r>
          </a:p>
        </c:rich>
      </c:tx>
      <c:layout>
        <c:manualLayout>
          <c:xMode val="edge"/>
          <c:yMode val="edge"/>
          <c:x val="0.31928834345032309"/>
          <c:y val="1.1076115485564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678887337246802E-2"/>
              <c:y val="3.2481439470138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7331728267341813E-2"/>
              <c:y val="-7.0779474713311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133183616132491"/>
              <c:y val="5.19998590780179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947707732210035"/>
              <c:y val="-4.7531595813203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893400056408347"/>
              <c:y val="-2.1184493897346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249376804374141"/>
              <c:y val="2.52663781265752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79570213992404"/>
              <c:y val="-1.0405807509704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208917676374593"/>
              <c:y val="-0.16119827005545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543341516539527"/>
              <c:y val="4.5863273713302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871625233298001"/>
              <c:y val="-0.17318697745563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372851131300611"/>
              <c:y val="6.4144608787595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182861846173737"/>
              <c:y val="-6.3441400463802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'Platform Analysis task-3'!$B$25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032-4560-9FEE-AAF3402D0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032-4560-9FEE-AAF3402D04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5032-4560-9FEE-AAF3402D04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5032-4560-9FEE-AAF3402D0478}"/>
              </c:ext>
            </c:extLst>
          </c:dPt>
          <c:dLbls>
            <c:dLbl>
              <c:idx val="0"/>
              <c:layout>
                <c:manualLayout>
                  <c:x val="0.12543341516539527"/>
                  <c:y val="4.586327371330239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32-4560-9FEE-AAF3402D0478}"/>
                </c:ext>
              </c:extLst>
            </c:dLbl>
            <c:dLbl>
              <c:idx val="1"/>
              <c:layout>
                <c:manualLayout>
                  <c:x val="0.12871625233298001"/>
                  <c:y val="-0.1731869774556326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032-4560-9FEE-AAF3402D0478}"/>
                </c:ext>
              </c:extLst>
            </c:dLbl>
            <c:dLbl>
              <c:idx val="2"/>
              <c:layout>
                <c:manualLayout>
                  <c:x val="-0.10182861846173737"/>
                  <c:y val="-6.344140046380225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032-4560-9FEE-AAF3402D0478}"/>
                </c:ext>
              </c:extLst>
            </c:dLbl>
            <c:dLbl>
              <c:idx val="3"/>
              <c:layout>
                <c:manualLayout>
                  <c:x val="-0.12372851131300611"/>
                  <c:y val="6.414460878759589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32-4560-9FEE-AAF3402D0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 Analysis task-3'!$A$26:$A$30</c:f>
              <c:strCache>
                <c:ptCount val="4"/>
                <c:pt idx="0">
                  <c:v>Facebook</c:v>
                </c:pt>
                <c:pt idx="1">
                  <c:v>Instagram</c:v>
                </c:pt>
                <c:pt idx="2">
                  <c:v>Twitter</c:v>
                </c:pt>
                <c:pt idx="3">
                  <c:v>YouTube</c:v>
                </c:pt>
              </c:strCache>
            </c:strRef>
          </c:cat>
          <c:val>
            <c:numRef>
              <c:f>'Platform Analysis task-3'!$B$26:$B$30</c:f>
              <c:numCache>
                <c:formatCode>0</c:formatCode>
                <c:ptCount val="4"/>
                <c:pt idx="0">
                  <c:v>711.14</c:v>
                </c:pt>
                <c:pt idx="1">
                  <c:v>960.08</c:v>
                </c:pt>
                <c:pt idx="2">
                  <c:v>823.54</c:v>
                </c:pt>
                <c:pt idx="3">
                  <c:v>707.34</c:v>
                </c:pt>
              </c:numCache>
            </c:numRef>
          </c:val>
          <c:extLst>
            <c:ext xmlns:c16="http://schemas.microsoft.com/office/drawing/2014/chart" uri="{C3380CC4-5D6E-409C-BE32-E72D297353CC}">
              <c16:uniqueId val="{00000000-5032-4560-9FEE-AAF3402D04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 vs. Ad Spend per platform.</a:t>
            </a:r>
          </a:p>
        </c:rich>
      </c:tx>
      <c:layout>
        <c:manualLayout>
          <c:xMode val="edge"/>
          <c:yMode val="edge"/>
          <c:x val="0.24977099108617817"/>
          <c:y val="1.0967781313004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'Platform Analysis task-3'!$B$53</c:f>
              <c:strCache>
                <c:ptCount val="1"/>
                <c:pt idx="0">
                  <c:v>Sum of Total Engagement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task-3'!$A$54:$A$57</c:f>
              <c:strCache>
                <c:ptCount val="4"/>
                <c:pt idx="0">
                  <c:v>Facebook</c:v>
                </c:pt>
                <c:pt idx="1">
                  <c:v>Instagram</c:v>
                </c:pt>
                <c:pt idx="2">
                  <c:v>Twitter</c:v>
                </c:pt>
                <c:pt idx="3">
                  <c:v>YouTube</c:v>
                </c:pt>
              </c:strCache>
            </c:strRef>
          </c:cat>
          <c:val>
            <c:numRef>
              <c:f>'Platform Analysis task-3'!$B$54:$B$57</c:f>
              <c:numCache>
                <c:formatCode>General</c:formatCode>
                <c:ptCount val="4"/>
                <c:pt idx="0">
                  <c:v>305242</c:v>
                </c:pt>
                <c:pt idx="1">
                  <c:v>263579</c:v>
                </c:pt>
                <c:pt idx="2">
                  <c:v>256005</c:v>
                </c:pt>
                <c:pt idx="3">
                  <c:v>212941</c:v>
                </c:pt>
              </c:numCache>
            </c:numRef>
          </c:val>
          <c:extLst>
            <c:ext xmlns:c16="http://schemas.microsoft.com/office/drawing/2014/chart" uri="{C3380CC4-5D6E-409C-BE32-E72D297353CC}">
              <c16:uniqueId val="{00000000-44B8-4074-BBA3-C60890A8C927}"/>
            </c:ext>
          </c:extLst>
        </c:ser>
        <c:dLbls>
          <c:showLegendKey val="0"/>
          <c:showVal val="0"/>
          <c:showCatName val="0"/>
          <c:showSerName val="0"/>
          <c:showPercent val="0"/>
          <c:showBubbleSize val="0"/>
        </c:dLbls>
        <c:gapWidth val="150"/>
        <c:axId val="1516839944"/>
        <c:axId val="1516841992"/>
      </c:barChart>
      <c:lineChart>
        <c:grouping val="standard"/>
        <c:varyColors val="0"/>
        <c:ser>
          <c:idx val="1"/>
          <c:order val="1"/>
          <c:tx>
            <c:strRef>
              <c:f>'Platform Analysis task-3'!$C$53</c:f>
              <c:strCache>
                <c:ptCount val="1"/>
                <c:pt idx="0">
                  <c:v>Average of Ad_Spend</c:v>
                </c:pt>
              </c:strCache>
            </c:strRef>
          </c:tx>
          <c:spPr>
            <a:ln w="28575" cap="rnd">
              <a:solidFill>
                <a:schemeClr val="accent2"/>
              </a:solidFill>
              <a:round/>
            </a:ln>
            <a:effectLst/>
          </c:spPr>
          <c:marker>
            <c:symbol val="none"/>
          </c:marker>
          <c:dLbls>
            <c:dLbl>
              <c:idx val="0"/>
              <c:layout>
                <c:manualLayout>
                  <c:x val="-7.3749974568684901E-2"/>
                  <c:y val="-5.555553436279296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B8-4074-BBA3-C60890A8C927}"/>
                </c:ext>
              </c:extLst>
            </c:dLbl>
            <c:dLbl>
              <c:idx val="1"/>
              <c:layout>
                <c:manualLayout>
                  <c:x val="-6.4166692097981828E-2"/>
                  <c:y val="-9.30555131700303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B8-4074-BBA3-C60890A8C927}"/>
                </c:ext>
              </c:extLst>
            </c:dLbl>
            <c:dLbl>
              <c:idx val="2"/>
              <c:layout>
                <c:manualLayout>
                  <c:x val="-6.416669209798187E-2"/>
                  <c:y val="-0.135416624281141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B8-4074-BBA3-C60890A8C927}"/>
                </c:ext>
              </c:extLst>
            </c:dLbl>
            <c:dLbl>
              <c:idx val="3"/>
              <c:layout>
                <c:manualLayout>
                  <c:x val="-8.5416641235351559E-2"/>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B8-4074-BBA3-C60890A8C92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task-3'!$A$54:$A$57</c:f>
              <c:strCache>
                <c:ptCount val="4"/>
                <c:pt idx="0">
                  <c:v>Facebook</c:v>
                </c:pt>
                <c:pt idx="1">
                  <c:v>Instagram</c:v>
                </c:pt>
                <c:pt idx="2">
                  <c:v>Twitter</c:v>
                </c:pt>
                <c:pt idx="3">
                  <c:v>YouTube</c:v>
                </c:pt>
              </c:strCache>
            </c:strRef>
          </c:cat>
          <c:val>
            <c:numRef>
              <c:f>'Platform Analysis task-3'!$C$54:$C$57</c:f>
              <c:numCache>
                <c:formatCode>0</c:formatCode>
                <c:ptCount val="4"/>
                <c:pt idx="0">
                  <c:v>27590.78</c:v>
                </c:pt>
                <c:pt idx="1">
                  <c:v>23287.46</c:v>
                </c:pt>
                <c:pt idx="2">
                  <c:v>21207.14</c:v>
                </c:pt>
                <c:pt idx="3">
                  <c:v>24572.94</c:v>
                </c:pt>
              </c:numCache>
            </c:numRef>
          </c:val>
          <c:smooth val="0"/>
          <c:extLst>
            <c:ext xmlns:c16="http://schemas.microsoft.com/office/drawing/2014/chart" uri="{C3380CC4-5D6E-409C-BE32-E72D297353CC}">
              <c16:uniqueId val="{00000002-44B8-4074-BBA3-C60890A8C927}"/>
            </c:ext>
          </c:extLst>
        </c:ser>
        <c:dLbls>
          <c:showLegendKey val="0"/>
          <c:showVal val="0"/>
          <c:showCatName val="0"/>
          <c:showSerName val="0"/>
          <c:showPercent val="0"/>
          <c:showBubbleSize val="0"/>
        </c:dLbls>
        <c:marker val="1"/>
        <c:smooth val="0"/>
        <c:axId val="911760391"/>
        <c:axId val="911757319"/>
      </c:lineChart>
      <c:catAx>
        <c:axId val="151683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16841992"/>
        <c:crosses val="autoZero"/>
        <c:auto val="1"/>
        <c:lblAlgn val="ctr"/>
        <c:lblOffset val="100"/>
        <c:noMultiLvlLbl val="0"/>
      </c:catAx>
      <c:valAx>
        <c:axId val="1516841992"/>
        <c:scaling>
          <c:orientation val="minMax"/>
          <c:max val="4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839944"/>
        <c:crosses val="autoZero"/>
        <c:crossBetween val="between"/>
      </c:valAx>
      <c:valAx>
        <c:axId val="9117573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60391"/>
        <c:crosses val="max"/>
        <c:crossBetween val="between"/>
      </c:valAx>
      <c:catAx>
        <c:axId val="911760391"/>
        <c:scaling>
          <c:orientation val="minMax"/>
        </c:scaling>
        <c:delete val="1"/>
        <c:axPos val="b"/>
        <c:numFmt formatCode="General" sourceLinked="1"/>
        <c:majorTickMark val="out"/>
        <c:minorTickMark val="none"/>
        <c:tickLblPos val="nextTo"/>
        <c:crossAx val="911757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Project.xlsx]Hashtag &amp; Content Strategy 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frequently used Tesla hashtags</a:t>
            </a:r>
          </a:p>
        </c:rich>
      </c:tx>
      <c:layout>
        <c:manualLayout>
          <c:xMode val="edge"/>
          <c:yMode val="edge"/>
          <c:x val="0.36531802391918766"/>
          <c:y val="2.0671881939397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423489326962948"/>
              <c:y val="2.416383277298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769994363849613"/>
              <c:y val="-0.1409931325843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8555889443615035"/>
              <c:y val="-7.5932848401406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394328914013954E-2"/>
              <c:y val="8.8131192903212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560021480015443"/>
              <c:y val="-2.7746616405359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6386281172323955"/>
              <c:y val="0.100518559211106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22674351863447276"/>
              <c:y val="0.27729349496861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914204469286224"/>
              <c:y val="7.4418573108446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0838891857572689"/>
              <c:y val="0.2516795707919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6869069873093424"/>
              <c:y val="2.599706526566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7146351067560465"/>
              <c:y val="2.1256066075791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732125601391206"/>
              <c:y val="0.2149870643320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'Hashtag &amp; Content Strategy 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7DB-420E-8834-CAE05B32D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7DB-420E-8834-CAE05B32D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7DB-420E-8834-CAE05B32D8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97DB-420E-8834-CAE05B32D8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97DB-420E-8834-CAE05B32D8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97DB-420E-8834-CAE05B32D8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74-42C7-8272-71204B99CEF8}"/>
              </c:ext>
            </c:extLst>
          </c:dPt>
          <c:dLbls>
            <c:dLbl>
              <c:idx val="0"/>
              <c:layout>
                <c:manualLayout>
                  <c:x val="0.20838891857572689"/>
                  <c:y val="0.2516795707919493"/>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8-97DB-420E-8834-CAE05B32D87D}"/>
                </c:ext>
              </c:extLst>
            </c:dLbl>
            <c:dLbl>
              <c:idx val="1"/>
              <c:layout>
                <c:manualLayout>
                  <c:x val="0.1914204469286224"/>
                  <c:y val="7.4418573108446254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7-97DB-420E-8834-CAE05B32D87D}"/>
                </c:ext>
              </c:extLst>
            </c:dLbl>
            <c:dLbl>
              <c:idx val="2"/>
              <c:layout>
                <c:manualLayout>
                  <c:x val="-0.22674351863447276"/>
                  <c:y val="0.27729349496861044"/>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6-97DB-420E-8834-CAE05B32D87D}"/>
                </c:ext>
              </c:extLst>
            </c:dLbl>
            <c:dLbl>
              <c:idx val="3"/>
              <c:layout>
                <c:manualLayout>
                  <c:x val="-0.2732125601391206"/>
                  <c:y val="0.2149870643320009"/>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97DB-420E-8834-CAE05B32D87D}"/>
                </c:ext>
              </c:extLst>
            </c:dLbl>
            <c:dLbl>
              <c:idx val="4"/>
              <c:layout>
                <c:manualLayout>
                  <c:x val="-0.27146351067560465"/>
                  <c:y val="2.1256066075791981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4-97DB-420E-8834-CAE05B32D87D}"/>
                </c:ext>
              </c:extLst>
            </c:dLbl>
            <c:dLbl>
              <c:idx val="5"/>
              <c:layout>
                <c:manualLayout>
                  <c:x val="0.36869069873093424"/>
                  <c:y val="2.5997065265665375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97DB-420E-8834-CAE05B32D8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'Hashtag &amp; Content Strategy T-4'!$A$4:$A$11</c:f>
              <c:strCache>
                <c:ptCount val="7"/>
                <c:pt idx="0">
                  <c:v>#TeslaCoInnovation</c:v>
                </c:pt>
                <c:pt idx="1">
                  <c:v>#FutureOfDriving</c:v>
                </c:pt>
                <c:pt idx="2">
                  <c:v>#EVRevolution</c:v>
                </c:pt>
                <c:pt idx="3">
                  <c:v>#AnytimeIsTeslaTime</c:v>
                </c:pt>
                <c:pt idx="4">
                  <c:v>#BetterWithTesla</c:v>
                </c:pt>
                <c:pt idx="5">
                  <c:v>#SmoothLikeNitroTesla</c:v>
                </c:pt>
                <c:pt idx="6">
                  <c:v>(blank)</c:v>
                </c:pt>
              </c:strCache>
            </c:strRef>
          </c:cat>
          <c:val>
            <c:numRef>
              <c:f>'Hashtag &amp; Content Strategy T-4'!$B$4:$B$11</c:f>
              <c:numCache>
                <c:formatCode>General</c:formatCode>
                <c:ptCount val="7"/>
                <c:pt idx="0">
                  <c:v>107</c:v>
                </c:pt>
                <c:pt idx="1">
                  <c:v>103</c:v>
                </c:pt>
                <c:pt idx="2">
                  <c:v>102</c:v>
                </c:pt>
                <c:pt idx="3">
                  <c:v>15</c:v>
                </c:pt>
                <c:pt idx="4">
                  <c:v>7</c:v>
                </c:pt>
                <c:pt idx="5">
                  <c:v>5</c:v>
                </c:pt>
              </c:numCache>
            </c:numRef>
          </c:val>
          <c:extLst>
            <c:ext xmlns:c16="http://schemas.microsoft.com/office/drawing/2014/chart" uri="{C3380CC4-5D6E-409C-BE32-E72D297353CC}">
              <c16:uniqueId val="{00000000-97DB-420E-8834-CAE05B32D87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Project.xlsx]Hashtag &amp; Content Strategy 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Type Performance Comparison</a:t>
            </a:r>
          </a:p>
        </c:rich>
      </c:tx>
      <c:layout>
        <c:manualLayout>
          <c:xMode val="edge"/>
          <c:yMode val="edge"/>
          <c:x val="0.26824106038165002"/>
          <c:y val="1.1331496630444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6.4615572415865569E-3"/>
              <c:y val="-0.11740409378456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2.7692119891826548E-3"/>
              <c:y val="-0.113274138234006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5.538423978365385E-3"/>
              <c:y val="-9.9115062252258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7.6923076923076927E-3"/>
              <c:y val="-0.10796461977438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1.3230731670673077E-2"/>
              <c:y val="-0.10442458071188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8.6153470552884619E-3"/>
              <c:y val="-0.10855453626244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 &amp; Content Strategy T-4'!$B$46</c:f>
              <c:strCache>
                <c:ptCount val="1"/>
                <c:pt idx="0">
                  <c:v>Average of Likes</c:v>
                </c:pt>
              </c:strCache>
            </c:strRef>
          </c:tx>
          <c:spPr>
            <a:solidFill>
              <a:schemeClr val="accent1"/>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T-4'!$B$47:$B$53</c:f>
              <c:numCache>
                <c:formatCode>0</c:formatCode>
                <c:ptCount val="6"/>
                <c:pt idx="0">
                  <c:v>2706.2608695652175</c:v>
                </c:pt>
                <c:pt idx="1">
                  <c:v>2722.2340425531916</c:v>
                </c:pt>
                <c:pt idx="2">
                  <c:v>2745.7457627118642</c:v>
                </c:pt>
                <c:pt idx="3">
                  <c:v>2688.2558139534885</c:v>
                </c:pt>
                <c:pt idx="4">
                  <c:v>2753.4603174603176</c:v>
                </c:pt>
                <c:pt idx="5">
                  <c:v>2773.7142857142858</c:v>
                </c:pt>
              </c:numCache>
            </c:numRef>
          </c:val>
          <c:extLst>
            <c:ext xmlns:c16="http://schemas.microsoft.com/office/drawing/2014/chart" uri="{C3380CC4-5D6E-409C-BE32-E72D297353CC}">
              <c16:uniqueId val="{00000000-8EE5-4040-8B93-8BAD6B98B238}"/>
            </c:ext>
          </c:extLst>
        </c:ser>
        <c:ser>
          <c:idx val="1"/>
          <c:order val="1"/>
          <c:tx>
            <c:strRef>
              <c:f>'Hashtag &amp; Content Strategy T-4'!$C$46</c:f>
              <c:strCache>
                <c:ptCount val="1"/>
                <c:pt idx="0">
                  <c:v>Average of Shares</c:v>
                </c:pt>
              </c:strCache>
            </c:strRef>
          </c:tx>
          <c:spPr>
            <a:solidFill>
              <a:schemeClr val="accent2"/>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T-4'!$C$47:$C$53</c:f>
              <c:numCache>
                <c:formatCode>0</c:formatCode>
                <c:ptCount val="6"/>
                <c:pt idx="0">
                  <c:v>520.76086956521738</c:v>
                </c:pt>
                <c:pt idx="1">
                  <c:v>493.63829787234044</c:v>
                </c:pt>
                <c:pt idx="2">
                  <c:v>448.66101694915255</c:v>
                </c:pt>
                <c:pt idx="3">
                  <c:v>488.25581395348837</c:v>
                </c:pt>
                <c:pt idx="4">
                  <c:v>470</c:v>
                </c:pt>
                <c:pt idx="5">
                  <c:v>445.07142857142856</c:v>
                </c:pt>
              </c:numCache>
            </c:numRef>
          </c:val>
          <c:extLst>
            <c:ext xmlns:c16="http://schemas.microsoft.com/office/drawing/2014/chart" uri="{C3380CC4-5D6E-409C-BE32-E72D297353CC}">
              <c16:uniqueId val="{00000002-8EE5-4040-8B93-8BAD6B98B238}"/>
            </c:ext>
          </c:extLst>
        </c:ser>
        <c:ser>
          <c:idx val="2"/>
          <c:order val="2"/>
          <c:tx>
            <c:strRef>
              <c:f>'Hashtag &amp; Content Strategy T-4'!$D$46</c:f>
              <c:strCache>
                <c:ptCount val="1"/>
                <c:pt idx="0">
                  <c:v>Average of Comments</c:v>
                </c:pt>
              </c:strCache>
            </c:strRef>
          </c:tx>
          <c:spPr>
            <a:solidFill>
              <a:schemeClr val="accent3"/>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T-4'!$D$47:$D$53</c:f>
              <c:numCache>
                <c:formatCode>0</c:formatCode>
                <c:ptCount val="6"/>
                <c:pt idx="0">
                  <c:v>263.19565217391306</c:v>
                </c:pt>
                <c:pt idx="1">
                  <c:v>240.85106382978722</c:v>
                </c:pt>
                <c:pt idx="2">
                  <c:v>245.89830508474577</c:v>
                </c:pt>
                <c:pt idx="3">
                  <c:v>239.04651162790697</c:v>
                </c:pt>
                <c:pt idx="4">
                  <c:v>259.55555555555554</c:v>
                </c:pt>
                <c:pt idx="5">
                  <c:v>244.88095238095238</c:v>
                </c:pt>
              </c:numCache>
            </c:numRef>
          </c:val>
          <c:extLst>
            <c:ext xmlns:c16="http://schemas.microsoft.com/office/drawing/2014/chart" uri="{C3380CC4-5D6E-409C-BE32-E72D297353CC}">
              <c16:uniqueId val="{00000004-8EE5-4040-8B93-8BAD6B98B238}"/>
            </c:ext>
          </c:extLst>
        </c:ser>
        <c:ser>
          <c:idx val="3"/>
          <c:order val="3"/>
          <c:tx>
            <c:strRef>
              <c:f>'Hashtag &amp; Content Strategy T-4'!$E$46</c:f>
              <c:strCache>
                <c:ptCount val="1"/>
                <c:pt idx="0">
                  <c:v>Average of Clicks</c:v>
                </c:pt>
              </c:strCache>
            </c:strRef>
          </c:tx>
          <c:spPr>
            <a:solidFill>
              <a:schemeClr val="accent4"/>
            </a:solidFill>
            <a:ln>
              <a:noFill/>
            </a:ln>
            <a:effectLst/>
          </c:spPr>
          <c:invertIfNegative val="0"/>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T-4'!$E$47:$E$53</c:f>
              <c:numCache>
                <c:formatCode>0</c:formatCode>
                <c:ptCount val="6"/>
                <c:pt idx="0">
                  <c:v>131.69565217391303</c:v>
                </c:pt>
                <c:pt idx="1">
                  <c:v>152.65957446808511</c:v>
                </c:pt>
                <c:pt idx="2">
                  <c:v>156.81355932203391</c:v>
                </c:pt>
                <c:pt idx="3">
                  <c:v>132.83720930232559</c:v>
                </c:pt>
                <c:pt idx="4">
                  <c:v>163.5873015873016</c:v>
                </c:pt>
                <c:pt idx="5">
                  <c:v>163.4047619047619</c:v>
                </c:pt>
              </c:numCache>
            </c:numRef>
          </c:val>
          <c:extLst>
            <c:ext xmlns:c16="http://schemas.microsoft.com/office/drawing/2014/chart" uri="{C3380CC4-5D6E-409C-BE32-E72D297353CC}">
              <c16:uniqueId val="{00000006-8EE5-4040-8B93-8BAD6B98B238}"/>
            </c:ext>
          </c:extLst>
        </c:ser>
        <c:ser>
          <c:idx val="4"/>
          <c:order val="4"/>
          <c:tx>
            <c:strRef>
              <c:f>'Hashtag &amp; Content Strategy T-4'!$F$46</c:f>
              <c:strCache>
                <c:ptCount val="1"/>
                <c:pt idx="0">
                  <c:v>Average of Engagement Rate</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9448-4F98-8B07-28608F746D63}"/>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9448-4F98-8B07-28608F746D63}"/>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9448-4F98-8B07-28608F746D63}"/>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9448-4F98-8B07-28608F746D6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9448-4F98-8B07-28608F746D63}"/>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6-9448-4F98-8B07-28608F746D63}"/>
              </c:ext>
            </c:extLst>
          </c:dPt>
          <c:dLbls>
            <c:dLbl>
              <c:idx val="0"/>
              <c:layout>
                <c:manualLayout>
                  <c:x val="-6.4615572415865569E-3"/>
                  <c:y val="-0.11740409378456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48-4F98-8B07-28608F746D63}"/>
                </c:ext>
              </c:extLst>
            </c:dLbl>
            <c:dLbl>
              <c:idx val="1"/>
              <c:layout>
                <c:manualLayout>
                  <c:x val="-2.7692119891826548E-3"/>
                  <c:y val="-0.113274138234006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48-4F98-8B07-28608F746D63}"/>
                </c:ext>
              </c:extLst>
            </c:dLbl>
            <c:dLbl>
              <c:idx val="2"/>
              <c:layout>
                <c:manualLayout>
                  <c:x val="-5.538423978365385E-3"/>
                  <c:y val="-9.9115062252258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48-4F98-8B07-28608F746D63}"/>
                </c:ext>
              </c:extLst>
            </c:dLbl>
            <c:dLbl>
              <c:idx val="3"/>
              <c:layout>
                <c:manualLayout>
                  <c:x val="-7.6923076923076927E-3"/>
                  <c:y val="-0.107964619774382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448-4F98-8B07-28608F746D63}"/>
                </c:ext>
              </c:extLst>
            </c:dLbl>
            <c:dLbl>
              <c:idx val="4"/>
              <c:layout>
                <c:manualLayout>
                  <c:x val="-1.3230731670673077E-2"/>
                  <c:y val="-0.10442458071188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48-4F98-8B07-28608F746D63}"/>
                </c:ext>
              </c:extLst>
            </c:dLbl>
            <c:dLbl>
              <c:idx val="5"/>
              <c:layout>
                <c:manualLayout>
                  <c:x val="-8.6153470552884619E-3"/>
                  <c:y val="-0.10855453626244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48-4F98-8B07-28608F746D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'Hashtag &amp; Content Strategy T-4'!$A$47:$A$53</c:f>
              <c:strCache>
                <c:ptCount val="6"/>
                <c:pt idx="0">
                  <c:v>Story</c:v>
                </c:pt>
                <c:pt idx="1">
                  <c:v>Reel</c:v>
                </c:pt>
                <c:pt idx="2">
                  <c:v>Carousel</c:v>
                </c:pt>
                <c:pt idx="3">
                  <c:v>Video</c:v>
                </c:pt>
                <c:pt idx="4">
                  <c:v>Image</c:v>
                </c:pt>
                <c:pt idx="5">
                  <c:v>Text</c:v>
                </c:pt>
              </c:strCache>
            </c:strRef>
          </c:cat>
          <c:val>
            <c:numRef>
              <c:f>'Hashtag &amp; Content Strategy T-4'!$F$47:$F$53</c:f>
              <c:numCache>
                <c:formatCode>0%</c:formatCode>
                <c:ptCount val="6"/>
                <c:pt idx="0">
                  <c:v>0.18425775384163354</c:v>
                </c:pt>
                <c:pt idx="1">
                  <c:v>0.15615682164328951</c:v>
                </c:pt>
                <c:pt idx="2">
                  <c:v>0.14814919934149989</c:v>
                </c:pt>
                <c:pt idx="3">
                  <c:v>0.14814844474464278</c:v>
                </c:pt>
                <c:pt idx="4">
                  <c:v>0.13687494054869703</c:v>
                </c:pt>
                <c:pt idx="5">
                  <c:v>0.11750673823506556</c:v>
                </c:pt>
              </c:numCache>
            </c:numRef>
          </c:val>
          <c:extLst>
            <c:ext xmlns:c16="http://schemas.microsoft.com/office/drawing/2014/chart" uri="{C3380CC4-5D6E-409C-BE32-E72D297353CC}">
              <c16:uniqueId val="{00000008-8EE5-4040-8B93-8BAD6B98B238}"/>
            </c:ext>
          </c:extLst>
        </c:ser>
        <c:dLbls>
          <c:showLegendKey val="0"/>
          <c:showVal val="0"/>
          <c:showCatName val="0"/>
          <c:showSerName val="0"/>
          <c:showPercent val="0"/>
          <c:showBubbleSize val="0"/>
        </c:dLbls>
        <c:gapWidth val="219"/>
        <c:overlap val="-27"/>
        <c:axId val="1412665863"/>
        <c:axId val="1292272647"/>
      </c:barChart>
      <c:catAx>
        <c:axId val="1412665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72647"/>
        <c:crosses val="autoZero"/>
        <c:auto val="1"/>
        <c:lblAlgn val="ctr"/>
        <c:lblOffset val="100"/>
        <c:noMultiLvlLbl val="0"/>
      </c:catAx>
      <c:valAx>
        <c:axId val="1292272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cross"/>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65863"/>
        <c:crosses val="autoZero"/>
        <c:crossBetween val="between"/>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Project.xlsx]Campaign Effectiveness T-5!PivotTable1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Total &amp; Average Impressions, Likes, Clicks per Campaign</a:t>
            </a:r>
          </a:p>
        </c:rich>
      </c:tx>
      <c:layout>
        <c:manualLayout>
          <c:xMode val="edge"/>
          <c:yMode val="edge"/>
          <c:x val="0.28184641597604587"/>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2.2076402542077877E-4"/>
              <c:y val="-2.717145142417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2.2076402542075177E-4"/>
              <c:y val="-2.85077679130707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4.4152805084161147E-4"/>
              <c:y val="-2.6726057906458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347354453396981E-8"/>
              <c:y val="-3.0734980186003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1037527593820064E-3"/>
              <c:y val="-3.1625794408581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'Campaign Effectiveness T-5'!$B$3</c:f>
              <c:strCache>
                <c:ptCount val="1"/>
                <c:pt idx="0">
                  <c:v>Sum of Impressions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T-5'!$B$4:$B$9</c:f>
              <c:numCache>
                <c:formatCode>0</c:formatCode>
                <c:ptCount val="5"/>
                <c:pt idx="0">
                  <c:v>1846272</c:v>
                </c:pt>
                <c:pt idx="1">
                  <c:v>2266053</c:v>
                </c:pt>
                <c:pt idx="2">
                  <c:v>1986356</c:v>
                </c:pt>
                <c:pt idx="3">
                  <c:v>2464864</c:v>
                </c:pt>
                <c:pt idx="4">
                  <c:v>1830608</c:v>
                </c:pt>
              </c:numCache>
            </c:numRef>
          </c:val>
          <c:extLst>
            <c:ext xmlns:c16="http://schemas.microsoft.com/office/drawing/2014/chart" uri="{C3380CC4-5D6E-409C-BE32-E72D297353CC}">
              <c16:uniqueId val="{00000000-4400-4DDF-A166-099F575F2365}"/>
            </c:ext>
          </c:extLst>
        </c:ser>
        <c:ser>
          <c:idx val="1"/>
          <c:order val="1"/>
          <c:tx>
            <c:strRef>
              <c:f>'Campaign Effectiveness T-5'!$C$3</c:f>
              <c:strCache>
                <c:ptCount val="1"/>
                <c:pt idx="0">
                  <c:v>Sum of Likes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T-5'!$C$4:$C$9</c:f>
              <c:numCache>
                <c:formatCode>0</c:formatCode>
                <c:ptCount val="5"/>
                <c:pt idx="0">
                  <c:v>138793</c:v>
                </c:pt>
                <c:pt idx="1">
                  <c:v>183346</c:v>
                </c:pt>
                <c:pt idx="2">
                  <c:v>159783</c:v>
                </c:pt>
                <c:pt idx="3">
                  <c:v>187909</c:v>
                </c:pt>
                <c:pt idx="4">
                  <c:v>150160</c:v>
                </c:pt>
              </c:numCache>
            </c:numRef>
          </c:val>
          <c:extLst>
            <c:ext xmlns:c16="http://schemas.microsoft.com/office/drawing/2014/chart" uri="{C3380CC4-5D6E-409C-BE32-E72D297353CC}">
              <c16:uniqueId val="{00000002-4400-4DDF-A166-099F575F2365}"/>
            </c:ext>
          </c:extLst>
        </c:ser>
        <c:ser>
          <c:idx val="2"/>
          <c:order val="2"/>
          <c:tx>
            <c:strRef>
              <c:f>'Campaign Effectiveness T-5'!$D$3</c:f>
              <c:strCache>
                <c:ptCount val="1"/>
                <c:pt idx="0">
                  <c:v>Sum of Clicks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T-5'!$D$4:$D$9</c:f>
              <c:numCache>
                <c:formatCode>0</c:formatCode>
                <c:ptCount val="5"/>
                <c:pt idx="0">
                  <c:v>6434</c:v>
                </c:pt>
                <c:pt idx="1">
                  <c:v>10032</c:v>
                </c:pt>
                <c:pt idx="2">
                  <c:v>9872</c:v>
                </c:pt>
                <c:pt idx="3">
                  <c:v>10689</c:v>
                </c:pt>
                <c:pt idx="4">
                  <c:v>8339</c:v>
                </c:pt>
              </c:numCache>
            </c:numRef>
          </c:val>
          <c:extLst>
            <c:ext xmlns:c16="http://schemas.microsoft.com/office/drawing/2014/chart" uri="{C3380CC4-5D6E-409C-BE32-E72D297353CC}">
              <c16:uniqueId val="{00000004-4400-4DDF-A166-099F575F2365}"/>
            </c:ext>
          </c:extLst>
        </c:ser>
        <c:ser>
          <c:idx val="3"/>
          <c:order val="3"/>
          <c:tx>
            <c:strRef>
              <c:f>'Campaign Effectiveness T-5'!$E$3</c:f>
              <c:strCache>
                <c:ptCount val="1"/>
                <c:pt idx="0">
                  <c:v>Avg Impressions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T-5'!$E$4:$E$9</c:f>
              <c:numCache>
                <c:formatCode>0</c:formatCode>
                <c:ptCount val="5"/>
                <c:pt idx="0">
                  <c:v>38464</c:v>
                </c:pt>
                <c:pt idx="1">
                  <c:v>33821.686567164179</c:v>
                </c:pt>
                <c:pt idx="2">
                  <c:v>34247.517241379312</c:v>
                </c:pt>
                <c:pt idx="3">
                  <c:v>34716.394366197186</c:v>
                </c:pt>
                <c:pt idx="4">
                  <c:v>32689.428571428572</c:v>
                </c:pt>
              </c:numCache>
            </c:numRef>
          </c:val>
          <c:extLst>
            <c:ext xmlns:c16="http://schemas.microsoft.com/office/drawing/2014/chart" uri="{C3380CC4-5D6E-409C-BE32-E72D297353CC}">
              <c16:uniqueId val="{00000006-4400-4DDF-A166-099F575F2365}"/>
            </c:ext>
          </c:extLst>
        </c:ser>
        <c:ser>
          <c:idx val="4"/>
          <c:order val="4"/>
          <c:tx>
            <c:strRef>
              <c:f>'Campaign Effectiveness T-5'!$F$3</c:f>
              <c:strCache>
                <c:ptCount val="1"/>
                <c:pt idx="0">
                  <c:v>Avg Likes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T-5'!$F$4:$F$9</c:f>
              <c:numCache>
                <c:formatCode>0</c:formatCode>
                <c:ptCount val="5"/>
                <c:pt idx="0">
                  <c:v>2891.5208333333335</c:v>
                </c:pt>
                <c:pt idx="1">
                  <c:v>2736.5074626865671</c:v>
                </c:pt>
                <c:pt idx="2">
                  <c:v>2754.8793103448274</c:v>
                </c:pt>
                <c:pt idx="3">
                  <c:v>2646.605633802817</c:v>
                </c:pt>
                <c:pt idx="4">
                  <c:v>2681.4285714285716</c:v>
                </c:pt>
              </c:numCache>
            </c:numRef>
          </c:val>
          <c:extLst>
            <c:ext xmlns:c16="http://schemas.microsoft.com/office/drawing/2014/chart" uri="{C3380CC4-5D6E-409C-BE32-E72D297353CC}">
              <c16:uniqueId val="{00000008-4400-4DDF-A166-099F575F2365}"/>
            </c:ext>
          </c:extLst>
        </c:ser>
        <c:ser>
          <c:idx val="5"/>
          <c:order val="5"/>
          <c:tx>
            <c:strRef>
              <c:f>'Campaign Effectiveness T-5'!$G$3</c:f>
              <c:strCache>
                <c:ptCount val="1"/>
                <c:pt idx="0">
                  <c:v>Avg Clicks</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D-4400-4DDF-A166-099F575F2365}"/>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E-4400-4DDF-A166-099F575F2365}"/>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F-4400-4DDF-A166-099F575F2365}"/>
              </c:ext>
            </c:extLst>
          </c:dPt>
          <c:dPt>
            <c:idx val="3"/>
            <c:invertIfNegative val="0"/>
            <c:bubble3D val="0"/>
            <c:spPr>
              <a:solidFill>
                <a:schemeClr val="accent6"/>
              </a:solidFill>
              <a:ln>
                <a:noFill/>
              </a:ln>
              <a:effectLst/>
            </c:spPr>
            <c:extLst>
              <c:ext xmlns:c16="http://schemas.microsoft.com/office/drawing/2014/chart" uri="{C3380CC4-5D6E-409C-BE32-E72D297353CC}">
                <c16:uniqueId val="{00000010-4400-4DDF-A166-099F575F2365}"/>
              </c:ext>
            </c:extLst>
          </c:dPt>
          <c:dPt>
            <c:idx val="4"/>
            <c:invertIfNegative val="0"/>
            <c:bubble3D val="0"/>
            <c:spPr>
              <a:solidFill>
                <a:schemeClr val="accent6"/>
              </a:solidFill>
              <a:ln>
                <a:noFill/>
              </a:ln>
              <a:effectLst/>
            </c:spPr>
            <c:extLst>
              <c:ext xmlns:c16="http://schemas.microsoft.com/office/drawing/2014/chart" uri="{C3380CC4-5D6E-409C-BE32-E72D297353CC}">
                <c16:uniqueId val="{00000011-4400-4DDF-A166-099F575F2365}"/>
              </c:ext>
            </c:extLst>
          </c:dPt>
          <c:dLbls>
            <c:dLbl>
              <c:idx val="0"/>
              <c:layout>
                <c:manualLayout>
                  <c:x val="2.2076402542077877E-4"/>
                  <c:y val="-2.717145142417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400-4DDF-A166-099F575F2365}"/>
                </c:ext>
              </c:extLst>
            </c:dLbl>
            <c:dLbl>
              <c:idx val="1"/>
              <c:layout>
                <c:manualLayout>
                  <c:x val="2.2076402542075177E-4"/>
                  <c:y val="-2.8507767913070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400-4DDF-A166-099F575F2365}"/>
                </c:ext>
              </c:extLst>
            </c:dLbl>
            <c:dLbl>
              <c:idx val="2"/>
              <c:layout>
                <c:manualLayout>
                  <c:x val="4.4152805084161147E-4"/>
                  <c:y val="-2.67260579064588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00-4DDF-A166-099F575F2365}"/>
                </c:ext>
              </c:extLst>
            </c:dLbl>
            <c:dLbl>
              <c:idx val="3"/>
              <c:layout>
                <c:manualLayout>
                  <c:x val="-1.347354453396981E-8"/>
                  <c:y val="-3.073498018600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400-4DDF-A166-099F575F2365}"/>
                </c:ext>
              </c:extLst>
            </c:dLbl>
            <c:dLbl>
              <c:idx val="4"/>
              <c:layout>
                <c:manualLayout>
                  <c:x val="-1.1037527593820064E-3"/>
                  <c:y val="-3.1625794408581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400-4DDF-A166-099F575F23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T-5'!$A$4:$A$9</c:f>
              <c:strCache>
                <c:ptCount val="5"/>
                <c:pt idx="0">
                  <c:v>CybertruckLaunch</c:v>
                </c:pt>
                <c:pt idx="1">
                  <c:v>FSDUpdate</c:v>
                </c:pt>
                <c:pt idx="2">
                  <c:v>ModelYCampaign</c:v>
                </c:pt>
                <c:pt idx="3">
                  <c:v>SustainabilityDrive</c:v>
                </c:pt>
                <c:pt idx="4">
                  <c:v>(blank)</c:v>
                </c:pt>
              </c:strCache>
            </c:strRef>
          </c:cat>
          <c:val>
            <c:numRef>
              <c:f>'Campaign Effectiveness T-5'!$G$4:$G$9</c:f>
              <c:numCache>
                <c:formatCode>0</c:formatCode>
                <c:ptCount val="5"/>
                <c:pt idx="0">
                  <c:v>134.04166666666666</c:v>
                </c:pt>
                <c:pt idx="1">
                  <c:v>149.73134328358208</c:v>
                </c:pt>
                <c:pt idx="2">
                  <c:v>170.20689655172413</c:v>
                </c:pt>
                <c:pt idx="3">
                  <c:v>150.54929577464787</c:v>
                </c:pt>
                <c:pt idx="4">
                  <c:v>148.91071428571428</c:v>
                </c:pt>
              </c:numCache>
            </c:numRef>
          </c:val>
          <c:extLst>
            <c:ext xmlns:c16="http://schemas.microsoft.com/office/drawing/2014/chart" uri="{C3380CC4-5D6E-409C-BE32-E72D297353CC}">
              <c16:uniqueId val="{0000000A-4400-4DDF-A166-099F575F2365}"/>
            </c:ext>
          </c:extLst>
        </c:ser>
        <c:dLbls>
          <c:showLegendKey val="0"/>
          <c:showVal val="0"/>
          <c:showCatName val="0"/>
          <c:showSerName val="0"/>
          <c:showPercent val="0"/>
          <c:showBubbleSize val="0"/>
        </c:dLbls>
        <c:gapWidth val="96"/>
        <c:overlap val="100"/>
        <c:axId val="1245374984"/>
        <c:axId val="1784452104"/>
      </c:barChart>
      <c:catAx>
        <c:axId val="124537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452104"/>
        <c:crosses val="autoZero"/>
        <c:auto val="1"/>
        <c:lblAlgn val="ctr"/>
        <c:lblOffset val="100"/>
        <c:noMultiLvlLbl val="0"/>
      </c:catAx>
      <c:valAx>
        <c:axId val="1784452104"/>
        <c:scaling>
          <c:orientation val="minMax"/>
          <c:max val="1"/>
          <c:min val="0.9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74984"/>
        <c:crosses val="autoZero"/>
        <c:crossBetween val="between"/>
        <c:majorUnit val="0.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Project.xlsx]Campaign Effectiveness T-5!PivotTable2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uplift during vs. before campaigns</a:t>
            </a:r>
          </a:p>
        </c:rich>
      </c:tx>
      <c:layout>
        <c:manualLayout>
          <c:xMode val="edge"/>
          <c:yMode val="edge"/>
          <c:x val="0.21089878126624667"/>
          <c:y val="2.08882065416938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3131672597864767E-2"/>
              <c:y val="-7.30338793122373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622775800711744E-2"/>
              <c:y val="-2.5842713773920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1387943797264235E-2"/>
              <c:y val="-2.8089887640449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6370128482262009E-2"/>
              <c:y val="-1.12340691384304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9181538103314059E-2"/>
              <c:y val="-6.74138444193293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Effectiveness T-5'!$B$30:$B$31</c:f>
              <c:strCache>
                <c:ptCount val="1"/>
                <c:pt idx="0">
                  <c:v>Before</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4-0736-4060-AC6D-D5865766BC8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0736-4060-AC6D-D5865766BC81}"/>
              </c:ext>
            </c:extLst>
          </c:dPt>
          <c:dLbls>
            <c:dLbl>
              <c:idx val="1"/>
              <c:layout>
                <c:manualLayout>
                  <c:x val="-2.5622775800711744E-2"/>
                  <c:y val="-2.584271377392029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0736-4060-AC6D-D5865766BC81}"/>
                </c:ext>
              </c:extLst>
            </c:dLbl>
            <c:dLbl>
              <c:idx val="2"/>
              <c:layout>
                <c:manualLayout>
                  <c:x val="-1.6370128482262009E-2"/>
                  <c:y val="-1.1234069138430476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0736-4060-AC6D-D5865766B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T-5'!$A$32:$A$37</c:f>
              <c:strCache>
                <c:ptCount val="5"/>
                <c:pt idx="0">
                  <c:v>CybertruckLaunch</c:v>
                </c:pt>
                <c:pt idx="1">
                  <c:v>FSDUpdate</c:v>
                </c:pt>
                <c:pt idx="2">
                  <c:v>ModelYCampaign</c:v>
                </c:pt>
                <c:pt idx="3">
                  <c:v>SustainabilityDrive</c:v>
                </c:pt>
                <c:pt idx="4">
                  <c:v>(blank)</c:v>
                </c:pt>
              </c:strCache>
            </c:strRef>
          </c:cat>
          <c:val>
            <c:numRef>
              <c:f>'Campaign Effectiveness T-5'!$B$32:$B$37</c:f>
              <c:numCache>
                <c:formatCode>0%</c:formatCode>
                <c:ptCount val="5"/>
                <c:pt idx="0">
                  <c:v>0.13530148159138197</c:v>
                </c:pt>
                <c:pt idx="1">
                  <c:v>0.14108804287980664</c:v>
                </c:pt>
                <c:pt idx="2">
                  <c:v>0.13996497479913381</c:v>
                </c:pt>
                <c:pt idx="3">
                  <c:v>0.15710993995332556</c:v>
                </c:pt>
              </c:numCache>
            </c:numRef>
          </c:val>
          <c:extLst>
            <c:ext xmlns:c16="http://schemas.microsoft.com/office/drawing/2014/chart" uri="{C3380CC4-5D6E-409C-BE32-E72D297353CC}">
              <c16:uniqueId val="{00000000-CC8A-44F3-8199-C28B9A79F228}"/>
            </c:ext>
          </c:extLst>
        </c:ser>
        <c:ser>
          <c:idx val="1"/>
          <c:order val="1"/>
          <c:tx>
            <c:strRef>
              <c:f>'Campaign Effectiveness T-5'!$C$30:$C$31</c:f>
              <c:strCache>
                <c:ptCount val="1"/>
                <c:pt idx="0">
                  <c:v>During</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0736-4060-AC6D-D5865766BC8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0736-4060-AC6D-D5865766BC8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0736-4060-AC6D-D5865766BC81}"/>
              </c:ext>
            </c:extLst>
          </c:dPt>
          <c:dLbls>
            <c:dLbl>
              <c:idx val="0"/>
              <c:layout>
                <c:manualLayout>
                  <c:x val="2.3131672597864767E-2"/>
                  <c:y val="-7.303387931223734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0736-4060-AC6D-D5865766BC81}"/>
                </c:ext>
              </c:extLst>
            </c:dLbl>
            <c:dLbl>
              <c:idx val="2"/>
              <c:layout>
                <c:manualLayout>
                  <c:x val="1.1387943797264235E-2"/>
                  <c:y val="-2.8089887640449437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0736-4060-AC6D-D5865766BC81}"/>
                </c:ext>
              </c:extLst>
            </c:dLbl>
            <c:dLbl>
              <c:idx val="3"/>
              <c:layout>
                <c:manualLayout>
                  <c:x val="2.9181538103314059E-2"/>
                  <c:y val="-6.741384441932935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0736-4060-AC6D-D5865766BC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T-5'!$A$32:$A$37</c:f>
              <c:strCache>
                <c:ptCount val="5"/>
                <c:pt idx="0">
                  <c:v>CybertruckLaunch</c:v>
                </c:pt>
                <c:pt idx="1">
                  <c:v>FSDUpdate</c:v>
                </c:pt>
                <c:pt idx="2">
                  <c:v>ModelYCampaign</c:v>
                </c:pt>
                <c:pt idx="3">
                  <c:v>SustainabilityDrive</c:v>
                </c:pt>
                <c:pt idx="4">
                  <c:v>(blank)</c:v>
                </c:pt>
              </c:strCache>
            </c:strRef>
          </c:cat>
          <c:val>
            <c:numRef>
              <c:f>'Campaign Effectiveness T-5'!$C$32:$C$37</c:f>
              <c:numCache>
                <c:formatCode>0%</c:formatCode>
                <c:ptCount val="5"/>
                <c:pt idx="0">
                  <c:v>7.7296913158705363E-2</c:v>
                </c:pt>
                <c:pt idx="1">
                  <c:v>0.2061036280141991</c:v>
                </c:pt>
                <c:pt idx="2">
                  <c:v>0.15063544700706727</c:v>
                </c:pt>
                <c:pt idx="3">
                  <c:v>0.1121014056861131</c:v>
                </c:pt>
              </c:numCache>
            </c:numRef>
          </c:val>
          <c:extLst>
            <c:ext xmlns:c16="http://schemas.microsoft.com/office/drawing/2014/chart" uri="{C3380CC4-5D6E-409C-BE32-E72D297353CC}">
              <c16:uniqueId val="{00000001-0736-4060-AC6D-D5865766BC81}"/>
            </c:ext>
          </c:extLst>
        </c:ser>
        <c:ser>
          <c:idx val="2"/>
          <c:order val="2"/>
          <c:tx>
            <c:strRef>
              <c:f>'Campaign Effectiveness T-5'!$D$30:$D$31</c:f>
              <c:strCache>
                <c:ptCount val="1"/>
                <c:pt idx="0">
                  <c:v>No Campaign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T-5'!$A$32:$A$37</c:f>
              <c:strCache>
                <c:ptCount val="5"/>
                <c:pt idx="0">
                  <c:v>CybertruckLaunch</c:v>
                </c:pt>
                <c:pt idx="1">
                  <c:v>FSDUpdate</c:v>
                </c:pt>
                <c:pt idx="2">
                  <c:v>ModelYCampaign</c:v>
                </c:pt>
                <c:pt idx="3">
                  <c:v>SustainabilityDrive</c:v>
                </c:pt>
                <c:pt idx="4">
                  <c:v>(blank)</c:v>
                </c:pt>
              </c:strCache>
            </c:strRef>
          </c:cat>
          <c:val>
            <c:numRef>
              <c:f>'Campaign Effectiveness T-5'!$D$32:$D$37</c:f>
              <c:numCache>
                <c:formatCode>0%</c:formatCode>
                <c:ptCount val="5"/>
                <c:pt idx="4">
                  <c:v>0.1722325755469942</c:v>
                </c:pt>
              </c:numCache>
            </c:numRef>
          </c:val>
          <c:extLst>
            <c:ext xmlns:c16="http://schemas.microsoft.com/office/drawing/2014/chart" uri="{C3380CC4-5D6E-409C-BE32-E72D297353CC}">
              <c16:uniqueId val="{00000002-0736-4060-AC6D-D5865766BC81}"/>
            </c:ext>
          </c:extLst>
        </c:ser>
        <c:dLbls>
          <c:showLegendKey val="0"/>
          <c:showVal val="0"/>
          <c:showCatName val="0"/>
          <c:showSerName val="0"/>
          <c:showPercent val="0"/>
          <c:showBubbleSize val="0"/>
        </c:dLbls>
        <c:gapWidth val="85"/>
        <c:overlap val="-27"/>
        <c:axId val="1919550472"/>
        <c:axId val="1919558152"/>
      </c:barChart>
      <c:catAx>
        <c:axId val="191955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19558152"/>
        <c:crosses val="autoZero"/>
        <c:auto val="1"/>
        <c:lblAlgn val="ctr"/>
        <c:lblOffset val="100"/>
        <c:noMultiLvlLbl val="0"/>
      </c:catAx>
      <c:valAx>
        <c:axId val="1919558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550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Project.xlsx]Campaign Effectiveness 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drove the strongest follower growth</a:t>
            </a:r>
          </a:p>
        </c:rich>
      </c:tx>
      <c:layout>
        <c:manualLayout>
          <c:xMode val="edge"/>
          <c:yMode val="edge"/>
          <c:x val="8.4277752346462662E-2"/>
          <c:y val="1.0416730244954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Effectiveness T-5'!$B$75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T-5'!$A$76:$A$81</c:f>
              <c:strCache>
                <c:ptCount val="5"/>
                <c:pt idx="0">
                  <c:v>FSDUpdate</c:v>
                </c:pt>
                <c:pt idx="1">
                  <c:v>ModelYCampaign</c:v>
                </c:pt>
                <c:pt idx="2">
                  <c:v>CybertruckLaunch</c:v>
                </c:pt>
                <c:pt idx="3">
                  <c:v>SustainabilityDrive</c:v>
                </c:pt>
                <c:pt idx="4">
                  <c:v>No Campaign</c:v>
                </c:pt>
              </c:strCache>
            </c:strRef>
          </c:cat>
          <c:val>
            <c:numRef>
              <c:f>'Campaign Effectiveness T-5'!$B$76:$B$81</c:f>
              <c:numCache>
                <c:formatCode>0</c:formatCode>
                <c:ptCount val="5"/>
                <c:pt idx="0">
                  <c:v>10087</c:v>
                </c:pt>
                <c:pt idx="1">
                  <c:v>11092</c:v>
                </c:pt>
                <c:pt idx="2">
                  <c:v>13523</c:v>
                </c:pt>
                <c:pt idx="3">
                  <c:v>16078</c:v>
                </c:pt>
                <c:pt idx="4">
                  <c:v>109325</c:v>
                </c:pt>
              </c:numCache>
            </c:numRef>
          </c:val>
          <c:extLst>
            <c:ext xmlns:c16="http://schemas.microsoft.com/office/drawing/2014/chart" uri="{C3380CC4-5D6E-409C-BE32-E72D297353CC}">
              <c16:uniqueId val="{00000000-95EF-4F29-8AB6-6965042E0698}"/>
            </c:ext>
          </c:extLst>
        </c:ser>
        <c:dLbls>
          <c:showLegendKey val="0"/>
          <c:showVal val="0"/>
          <c:showCatName val="0"/>
          <c:showSerName val="0"/>
          <c:showPercent val="0"/>
          <c:showBubbleSize val="0"/>
        </c:dLbls>
        <c:gapWidth val="219"/>
        <c:overlap val="-27"/>
        <c:axId val="93482504"/>
        <c:axId val="94896136"/>
      </c:barChart>
      <c:catAx>
        <c:axId val="93482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96136"/>
        <c:crosses val="autoZero"/>
        <c:auto val="1"/>
        <c:lblAlgn val="ctr"/>
        <c:lblOffset val="100"/>
        <c:noMultiLvlLbl val="0"/>
      </c:catAx>
      <c:valAx>
        <c:axId val="94896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2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Completed Project.xlsx]Follower Retension Task-6!PivotTable1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Follower Growth by Platform</a:t>
            </a:r>
          </a:p>
        </c:rich>
      </c:tx>
      <c:layout>
        <c:manualLayout>
          <c:xMode val="edge"/>
          <c:yMode val="edge"/>
          <c:x val="0.35511427896157527"/>
          <c:y val="6.94448571287079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'Follower Retension Task-6'!$B$3:$B$4</c:f>
              <c:strCache>
                <c:ptCount val="1"/>
                <c:pt idx="0">
                  <c:v>Facebook</c:v>
                </c:pt>
              </c:strCache>
            </c:strRef>
          </c:tx>
          <c:spPr>
            <a:ln w="28575" cap="rnd">
              <a:solidFill>
                <a:schemeClr val="accent1"/>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Task-6'!$B$5:$B$55</c:f>
              <c:numCache>
                <c:formatCode>0</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F6DE-42F3-9D44-C5D8C75DBC96}"/>
            </c:ext>
          </c:extLst>
        </c:ser>
        <c:ser>
          <c:idx val="1"/>
          <c:order val="1"/>
          <c:tx>
            <c:strRef>
              <c:f>'Follower Retension Task-6'!$C$3:$C$4</c:f>
              <c:strCache>
                <c:ptCount val="1"/>
                <c:pt idx="0">
                  <c:v>Instagram</c:v>
                </c:pt>
              </c:strCache>
            </c:strRef>
          </c:tx>
          <c:spPr>
            <a:ln w="28575" cap="rnd">
              <a:solidFill>
                <a:schemeClr val="accent2"/>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Task-6'!$C$5:$C$55</c:f>
              <c:numCache>
                <c:formatCode>0</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2-F6DE-42F3-9D44-C5D8C75DBC96}"/>
            </c:ext>
          </c:extLst>
        </c:ser>
        <c:ser>
          <c:idx val="2"/>
          <c:order val="2"/>
          <c:tx>
            <c:strRef>
              <c:f>'Follower Retension Task-6'!$D$3:$D$4</c:f>
              <c:strCache>
                <c:ptCount val="1"/>
                <c:pt idx="0">
                  <c:v>Twitter</c:v>
                </c:pt>
              </c:strCache>
            </c:strRef>
          </c:tx>
          <c:spPr>
            <a:ln w="28575" cap="rnd">
              <a:solidFill>
                <a:schemeClr val="accent3"/>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Task-6'!$D$5:$D$55</c:f>
              <c:numCache>
                <c:formatCode>0</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04-F6DE-42F3-9D44-C5D8C75DBC96}"/>
            </c:ext>
          </c:extLst>
        </c:ser>
        <c:ser>
          <c:idx val="3"/>
          <c:order val="3"/>
          <c:tx>
            <c:strRef>
              <c:f>'Follower Retension Task-6'!$E$3:$E$4</c:f>
              <c:strCache>
                <c:ptCount val="1"/>
                <c:pt idx="0">
                  <c:v>YouTube</c:v>
                </c:pt>
              </c:strCache>
            </c:strRef>
          </c:tx>
          <c:spPr>
            <a:ln w="28575" cap="rnd">
              <a:solidFill>
                <a:schemeClr val="accent4"/>
              </a:solidFill>
              <a:round/>
            </a:ln>
            <a:effectLst/>
          </c:spPr>
          <c:marker>
            <c:symbol val="none"/>
          </c:marker>
          <c:cat>
            <c:strRef>
              <c:f>'Follower Retension Task-6'!$A$5:$A$55</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Task-6'!$E$5:$E$55</c:f>
              <c:numCache>
                <c:formatCode>0</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06-F6DE-42F3-9D44-C5D8C75DBC96}"/>
            </c:ext>
          </c:extLst>
        </c:ser>
        <c:dLbls>
          <c:showLegendKey val="0"/>
          <c:showVal val="0"/>
          <c:showCatName val="0"/>
          <c:showSerName val="0"/>
          <c:showPercent val="0"/>
          <c:showBubbleSize val="0"/>
        </c:dLbls>
        <c:smooth val="0"/>
        <c:axId val="538430983"/>
        <c:axId val="924754952"/>
      </c:lineChart>
      <c:catAx>
        <c:axId val="53843098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24754952"/>
        <c:crosses val="autoZero"/>
        <c:auto val="1"/>
        <c:lblAlgn val="ctr"/>
        <c:lblOffset val="100"/>
        <c:noMultiLvlLbl val="0"/>
      </c:catAx>
      <c:valAx>
        <c:axId val="924754952"/>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30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Moving averages to smooth growth trends</a:t>
            </a:r>
          </a:p>
        </c:rich>
      </c:tx>
      <c:layout>
        <c:manualLayout>
          <c:xMode val="edge"/>
          <c:yMode val="edge"/>
          <c:x val="0.30950712873216535"/>
          <c:y val="6.5671641791044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'Follower Retension Task-6'!$F$63</c:f>
              <c:strCache>
                <c:ptCount val="1"/>
                <c:pt idx="0">
                  <c:v>Grand Total</c:v>
                </c:pt>
              </c:strCache>
            </c:strRef>
          </c:tx>
          <c:spPr>
            <a:ln w="28575" cap="rnd">
              <a:solidFill>
                <a:schemeClr val="accent1"/>
              </a:solidFill>
              <a:round/>
            </a:ln>
            <a:effectLst/>
          </c:spPr>
          <c:marker>
            <c:symbol val="none"/>
          </c:marker>
          <c:cat>
            <c:strRef>
              <c:f>'Follower Retension Task-6'!$A$64:$A$113</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Task-6'!$F$64:$F$113</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FFBD-4CA6-B1C5-6CD40E6AD31A}"/>
            </c:ext>
          </c:extLst>
        </c:ser>
        <c:ser>
          <c:idx val="1"/>
          <c:order val="1"/>
          <c:tx>
            <c:strRef>
              <c:f>'Follower Retension Task-6'!$G$63</c:f>
              <c:strCache>
                <c:ptCount val="1"/>
                <c:pt idx="0">
                  <c:v>3-Week MA</c:v>
                </c:pt>
              </c:strCache>
            </c:strRef>
          </c:tx>
          <c:spPr>
            <a:ln w="28575" cap="rnd">
              <a:solidFill>
                <a:schemeClr val="accent2"/>
              </a:solidFill>
              <a:round/>
            </a:ln>
            <a:effectLst/>
          </c:spPr>
          <c:marker>
            <c:symbol val="none"/>
          </c:marker>
          <c:cat>
            <c:strRef>
              <c:f>'Follower Retension Task-6'!$A$64:$A$113</c:f>
              <c:strCache>
                <c:ptCount val="50"/>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strCache>
            </c:strRef>
          </c:cat>
          <c:val>
            <c:numRef>
              <c:f>'Follower Retension Task-6'!$G$64:$G$113</c:f>
              <c:numCache>
                <c:formatCode>General</c:formatCode>
                <c:ptCount val="50"/>
                <c:pt idx="3" formatCode="0">
                  <c:v>3480.3333333333335</c:v>
                </c:pt>
                <c:pt idx="4" formatCode="0">
                  <c:v>3299.3333333333335</c:v>
                </c:pt>
                <c:pt idx="5" formatCode="0">
                  <c:v>2737</c:v>
                </c:pt>
                <c:pt idx="6" formatCode="0">
                  <c:v>2448.6666666666665</c:v>
                </c:pt>
                <c:pt idx="7" formatCode="0">
                  <c:v>2201.6666666666665</c:v>
                </c:pt>
                <c:pt idx="8" formatCode="0">
                  <c:v>2688.3333333333335</c:v>
                </c:pt>
                <c:pt idx="9" formatCode="0">
                  <c:v>2405.3333333333335</c:v>
                </c:pt>
                <c:pt idx="10" formatCode="0">
                  <c:v>1916</c:v>
                </c:pt>
                <c:pt idx="11" formatCode="0">
                  <c:v>2241</c:v>
                </c:pt>
                <c:pt idx="12" formatCode="0">
                  <c:v>2506.3333333333335</c:v>
                </c:pt>
                <c:pt idx="13" formatCode="0">
                  <c:v>3206.6666666666665</c:v>
                </c:pt>
                <c:pt idx="14" formatCode="0">
                  <c:v>2904.6666666666665</c:v>
                </c:pt>
                <c:pt idx="15" formatCode="0">
                  <c:v>3361.6666666666665</c:v>
                </c:pt>
                <c:pt idx="16" formatCode="0">
                  <c:v>2916.6666666666665</c:v>
                </c:pt>
                <c:pt idx="17" formatCode="0">
                  <c:v>3087</c:v>
                </c:pt>
                <c:pt idx="18" formatCode="0">
                  <c:v>2684</c:v>
                </c:pt>
                <c:pt idx="19" formatCode="0">
                  <c:v>3414.3333333333335</c:v>
                </c:pt>
                <c:pt idx="20" formatCode="0">
                  <c:v>2922</c:v>
                </c:pt>
                <c:pt idx="21" formatCode="0">
                  <c:v>2812</c:v>
                </c:pt>
                <c:pt idx="22" formatCode="0">
                  <c:v>2444.3333333333335</c:v>
                </c:pt>
                <c:pt idx="23" formatCode="0">
                  <c:v>3353.6666666666665</c:v>
                </c:pt>
                <c:pt idx="24" formatCode="0">
                  <c:v>3178.3333333333335</c:v>
                </c:pt>
                <c:pt idx="25" formatCode="0">
                  <c:v>2469</c:v>
                </c:pt>
                <c:pt idx="26" formatCode="0">
                  <c:v>2277</c:v>
                </c:pt>
                <c:pt idx="27" formatCode="0">
                  <c:v>3110.3333333333335</c:v>
                </c:pt>
                <c:pt idx="28" formatCode="0">
                  <c:v>4531.666666666667</c:v>
                </c:pt>
                <c:pt idx="29" formatCode="0">
                  <c:v>4877</c:v>
                </c:pt>
                <c:pt idx="30" formatCode="0">
                  <c:v>4583.333333333333</c:v>
                </c:pt>
                <c:pt idx="31" formatCode="0">
                  <c:v>5162.666666666667</c:v>
                </c:pt>
                <c:pt idx="32" formatCode="0">
                  <c:v>4667</c:v>
                </c:pt>
                <c:pt idx="33" formatCode="0">
                  <c:v>4288</c:v>
                </c:pt>
                <c:pt idx="34" formatCode="0">
                  <c:v>3316</c:v>
                </c:pt>
                <c:pt idx="35" formatCode="0">
                  <c:v>3258</c:v>
                </c:pt>
                <c:pt idx="36" formatCode="0">
                  <c:v>3063.6666666666665</c:v>
                </c:pt>
                <c:pt idx="37" formatCode="0">
                  <c:v>3619.3333333333335</c:v>
                </c:pt>
                <c:pt idx="38" formatCode="0">
                  <c:v>3722.6666666666665</c:v>
                </c:pt>
                <c:pt idx="39" formatCode="0">
                  <c:v>4593.333333333333</c:v>
                </c:pt>
                <c:pt idx="40" formatCode="0">
                  <c:v>3636.3333333333335</c:v>
                </c:pt>
                <c:pt idx="41" formatCode="0">
                  <c:v>3642.6666666666665</c:v>
                </c:pt>
                <c:pt idx="42" formatCode="0">
                  <c:v>3388</c:v>
                </c:pt>
                <c:pt idx="43" formatCode="0">
                  <c:v>3123.3333333333335</c:v>
                </c:pt>
                <c:pt idx="44" formatCode="0">
                  <c:v>3318.6666666666665</c:v>
                </c:pt>
                <c:pt idx="45" formatCode="0">
                  <c:v>2775.3333333333335</c:v>
                </c:pt>
                <c:pt idx="46" formatCode="0">
                  <c:v>2191</c:v>
                </c:pt>
                <c:pt idx="47" formatCode="0">
                  <c:v>2105</c:v>
                </c:pt>
                <c:pt idx="48" formatCode="0">
                  <c:v>2493.3333333333335</c:v>
                </c:pt>
                <c:pt idx="49" formatCode="0">
                  <c:v>4070.3333333333335</c:v>
                </c:pt>
              </c:numCache>
            </c:numRef>
          </c:val>
          <c:smooth val="0"/>
          <c:extLst>
            <c:ext xmlns:c16="http://schemas.microsoft.com/office/drawing/2014/chart" uri="{C3380CC4-5D6E-409C-BE32-E72D297353CC}">
              <c16:uniqueId val="{00000002-FFBD-4CA6-B1C5-6CD40E6AD31A}"/>
            </c:ext>
          </c:extLst>
        </c:ser>
        <c:dLbls>
          <c:showLegendKey val="0"/>
          <c:showVal val="0"/>
          <c:showCatName val="0"/>
          <c:showSerName val="0"/>
          <c:showPercent val="0"/>
          <c:showBubbleSize val="0"/>
        </c:dLbls>
        <c:smooth val="0"/>
        <c:axId val="595459079"/>
        <c:axId val="813708295"/>
      </c:lineChart>
      <c:catAx>
        <c:axId val="595459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13708295"/>
        <c:crosses val="autoZero"/>
        <c:auto val="1"/>
        <c:lblAlgn val="ctr"/>
        <c:lblOffset val="100"/>
        <c:noMultiLvlLbl val="0"/>
      </c:catAx>
      <c:valAx>
        <c:axId val="813708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59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Ad spend vs. follower growth</a:t>
            </a:r>
          </a:p>
        </c:rich>
      </c:tx>
      <c:layout>
        <c:manualLayout>
          <c:xMode val="edge"/>
          <c:yMode val="edge"/>
          <c:x val="0.30932195545301966"/>
          <c:y val="9.439510019127947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'Follower Retension Task-6'!$B$129</c:f>
              <c:strCache>
                <c:ptCount val="1"/>
                <c:pt idx="0">
                  <c:v>Average of Ad_Spend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dLbl>
              <c:idx val="0"/>
              <c:layout>
                <c:manualLayout>
                  <c:x val="-0.15999997456868492"/>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E2-4227-A0A1-37F249EC5930}"/>
                </c:ext>
              </c:extLst>
            </c:dLbl>
            <c:dLbl>
              <c:idx val="1"/>
              <c:layout>
                <c:manualLayout>
                  <c:x val="-0.10291661580403645"/>
                  <c:y val="9.861117468939886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E2-4227-A0A1-37F249EC5930}"/>
                </c:ext>
              </c:extLst>
            </c:dLbl>
            <c:dLbl>
              <c:idx val="2"/>
              <c:layout>
                <c:manualLayout>
                  <c:x val="8.3333333333333332E-3"/>
                  <c:y val="7.29166666666666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E2-4227-A0A1-37F249EC5930}"/>
                </c:ext>
              </c:extLst>
            </c:dLbl>
            <c:dLbl>
              <c:idx val="3"/>
              <c:layout>
                <c:manualLayout>
                  <c:x val="-0.18124997456868489"/>
                  <c:y val="-4.72222222222222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E2-4227-A0A1-37F249EC5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'Follower Retension Task-6'!$A$130:$A$133</c:f>
              <c:strCache>
                <c:ptCount val="4"/>
                <c:pt idx="0">
                  <c:v>Facebook</c:v>
                </c:pt>
                <c:pt idx="1">
                  <c:v>Instagram</c:v>
                </c:pt>
                <c:pt idx="2">
                  <c:v>Twitter</c:v>
                </c:pt>
                <c:pt idx="3">
                  <c:v>YouTube</c:v>
                </c:pt>
              </c:strCache>
            </c:strRef>
          </c:xVal>
          <c:yVal>
            <c:numRef>
              <c:f>'Follower Retension Task-6'!$B$130:$B$133</c:f>
              <c:numCache>
                <c:formatCode>0</c:formatCode>
                <c:ptCount val="4"/>
                <c:pt idx="0">
                  <c:v>27590.78</c:v>
                </c:pt>
                <c:pt idx="1">
                  <c:v>23287.46</c:v>
                </c:pt>
                <c:pt idx="2">
                  <c:v>21207.14</c:v>
                </c:pt>
                <c:pt idx="3">
                  <c:v>24572.94</c:v>
                </c:pt>
              </c:numCache>
            </c:numRef>
          </c:yVal>
          <c:smooth val="0"/>
          <c:extLst>
            <c:ext xmlns:c16="http://schemas.microsoft.com/office/drawing/2014/chart" uri="{C3380CC4-5D6E-409C-BE32-E72D297353CC}">
              <c16:uniqueId val="{00000000-EAE2-4227-A0A1-37F249EC5930}"/>
            </c:ext>
          </c:extLst>
        </c:ser>
        <c:ser>
          <c:idx val="1"/>
          <c:order val="1"/>
          <c:tx>
            <c:strRef>
              <c:f>'Follower Retension Task-6'!$C$129</c:f>
              <c:strCache>
                <c:ptCount val="1"/>
                <c:pt idx="0">
                  <c:v>Average of Net_Growth</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dLbl>
              <c:idx val="0"/>
              <c:layout>
                <c:manualLayout>
                  <c:x val="-0.17458325703938804"/>
                  <c:y val="-0.1187497668796114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E2-4227-A0A1-37F249EC5930}"/>
                </c:ext>
              </c:extLst>
            </c:dLbl>
            <c:dLbl>
              <c:idx val="1"/>
              <c:layout>
                <c:manualLayout>
                  <c:x val="-8.5833282470703126E-2"/>
                  <c:y val="-0.109721989101833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AE2-4227-A0A1-37F249EC5930}"/>
                </c:ext>
              </c:extLst>
            </c:dLbl>
            <c:dLbl>
              <c:idx val="2"/>
              <c:layout>
                <c:manualLayout>
                  <c:x val="-3.2499949137369789E-2"/>
                  <c:y val="-0.101388825310601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AE2-4227-A0A1-37F249EC5930}"/>
                </c:ext>
              </c:extLst>
            </c:dLbl>
            <c:dLbl>
              <c:idx val="3"/>
              <c:layout>
                <c:manualLayout>
                  <c:x val="-3.7083114610673769E-2"/>
                  <c:y val="-0.110416666666666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AE2-4227-A0A1-37F249EC5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'Follower Retension Task-6'!$A$130:$A$133</c:f>
              <c:strCache>
                <c:ptCount val="4"/>
                <c:pt idx="0">
                  <c:v>Facebook</c:v>
                </c:pt>
                <c:pt idx="1">
                  <c:v>Instagram</c:v>
                </c:pt>
                <c:pt idx="2">
                  <c:v>Twitter</c:v>
                </c:pt>
                <c:pt idx="3">
                  <c:v>YouTube</c:v>
                </c:pt>
              </c:strCache>
            </c:strRef>
          </c:xVal>
          <c:yVal>
            <c:numRef>
              <c:f>'Follower Retension Task-6'!$C$130:$C$133</c:f>
              <c:numCache>
                <c:formatCode>0</c:formatCode>
                <c:ptCount val="4"/>
                <c:pt idx="0">
                  <c:v>711.14</c:v>
                </c:pt>
                <c:pt idx="1">
                  <c:v>960.08</c:v>
                </c:pt>
                <c:pt idx="2">
                  <c:v>823.54</c:v>
                </c:pt>
                <c:pt idx="3">
                  <c:v>707.34</c:v>
                </c:pt>
              </c:numCache>
            </c:numRef>
          </c:yVal>
          <c:smooth val="0"/>
          <c:extLst>
            <c:ext xmlns:c16="http://schemas.microsoft.com/office/drawing/2014/chart" uri="{C3380CC4-5D6E-409C-BE32-E72D297353CC}">
              <c16:uniqueId val="{00000002-EAE2-4227-A0A1-37F249EC5930}"/>
            </c:ext>
          </c:extLst>
        </c:ser>
        <c:dLbls>
          <c:showLegendKey val="0"/>
          <c:showVal val="0"/>
          <c:showCatName val="0"/>
          <c:showSerName val="0"/>
          <c:showPercent val="0"/>
          <c:showBubbleSize val="0"/>
        </c:dLbls>
        <c:axId val="1185084423"/>
        <c:axId val="1185086471"/>
      </c:scatterChart>
      <c:valAx>
        <c:axId val="1185084423"/>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low"/>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5086471"/>
        <c:crosses val="autoZero"/>
        <c:crossBetween val="midCat"/>
      </c:valAx>
      <c:valAx>
        <c:axId val="11850864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5084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4</xdr:col>
      <xdr:colOff>295275</xdr:colOff>
      <xdr:row>42</xdr:row>
      <xdr:rowOff>28575</xdr:rowOff>
    </xdr:from>
    <xdr:to>
      <xdr:col>6</xdr:col>
      <xdr:colOff>142875</xdr:colOff>
      <xdr:row>50</xdr:row>
      <xdr:rowOff>57150</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57450D01-2803-35ED-2226-AAFF0738F63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486400" y="371475"/>
              <a:ext cx="1828800" cy="15525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6</xdr:col>
      <xdr:colOff>247650</xdr:colOff>
      <xdr:row>36</xdr:row>
      <xdr:rowOff>161925</xdr:rowOff>
    </xdr:from>
    <xdr:to>
      <xdr:col>11</xdr:col>
      <xdr:colOff>409575</xdr:colOff>
      <xdr:row>54</xdr:row>
      <xdr:rowOff>104775</xdr:rowOff>
    </xdr:to>
    <xdr:graphicFrame macro="">
      <xdr:nvGraphicFramePr>
        <xdr:cNvPr id="3" name="Chart 2">
          <a:extLst>
            <a:ext uri="{FF2B5EF4-FFF2-40B4-BE49-F238E27FC236}">
              <a16:creationId xmlns:a16="http://schemas.microsoft.com/office/drawing/2014/main" id="{58F57047-DA37-4AD5-2BDF-3D3B59480953}"/>
            </a:ext>
            <a:ext uri="{147F2762-F138-4A5C-976F-8EAC2B608ADB}">
              <a16:predDERef xmlns:a16="http://schemas.microsoft.com/office/drawing/2014/main" pred="{57450D01-2803-35ED-2226-AAFF0738F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400050</xdr:colOff>
      <xdr:row>0</xdr:row>
      <xdr:rowOff>9525</xdr:rowOff>
    </xdr:from>
    <xdr:to>
      <xdr:col>8</xdr:col>
      <xdr:colOff>457200</xdr:colOff>
      <xdr:row>18</xdr:row>
      <xdr:rowOff>76200</xdr:rowOff>
    </xdr:to>
    <xdr:graphicFrame macro="">
      <xdr:nvGraphicFramePr>
        <xdr:cNvPr id="5" name="Chart 4">
          <a:extLst>
            <a:ext uri="{FF2B5EF4-FFF2-40B4-BE49-F238E27FC236}">
              <a16:creationId xmlns:a16="http://schemas.microsoft.com/office/drawing/2014/main" id="{D5459ACB-706F-4766-AC90-EF8FB8B6664C}"/>
            </a:ext>
            <a:ext uri="{147F2762-F138-4A5C-976F-8EAC2B608ADB}">
              <a16:predDERef xmlns:a16="http://schemas.microsoft.com/office/drawing/2014/main" pred="{58F57047-DA37-4AD5-2BDF-3D3B59480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62</xdr:row>
      <xdr:rowOff>38100</xdr:rowOff>
    </xdr:from>
    <xdr:to>
      <xdr:col>7</xdr:col>
      <xdr:colOff>257175</xdr:colOff>
      <xdr:row>81</xdr:row>
      <xdr:rowOff>0</xdr:rowOff>
    </xdr:to>
    <xdr:graphicFrame macro="">
      <xdr:nvGraphicFramePr>
        <xdr:cNvPr id="6" name="Chart 5">
          <a:extLst>
            <a:ext uri="{FF2B5EF4-FFF2-40B4-BE49-F238E27FC236}">
              <a16:creationId xmlns:a16="http://schemas.microsoft.com/office/drawing/2014/main" id="{2066B1E6-7E12-62B8-0845-EEA0072FDAEE}"/>
            </a:ext>
            <a:ext uri="{147F2762-F138-4A5C-976F-8EAC2B608ADB}">
              <a16:predDERef xmlns:a16="http://schemas.microsoft.com/office/drawing/2014/main" pred="{D5459ACB-706F-4766-AC90-EF8FB8B66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638175</xdr:colOff>
      <xdr:row>0</xdr:row>
      <xdr:rowOff>19050</xdr:rowOff>
    </xdr:from>
    <xdr:to>
      <xdr:col>13</xdr:col>
      <xdr:colOff>523875</xdr:colOff>
      <xdr:row>15</xdr:row>
      <xdr:rowOff>161925</xdr:rowOff>
    </xdr:to>
    <xdr:graphicFrame macro="">
      <xdr:nvGraphicFramePr>
        <xdr:cNvPr id="2" name="Chart 1">
          <a:extLst>
            <a:ext uri="{FF2B5EF4-FFF2-40B4-BE49-F238E27FC236}">
              <a16:creationId xmlns:a16="http://schemas.microsoft.com/office/drawing/2014/main" id="{2AECDA73-4C52-44FE-AFA9-A7B235268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657225</xdr:colOff>
      <xdr:row>22</xdr:row>
      <xdr:rowOff>66675</xdr:rowOff>
    </xdr:from>
    <xdr:to>
      <xdr:col>13</xdr:col>
      <xdr:colOff>304800</xdr:colOff>
      <xdr:row>37</xdr:row>
      <xdr:rowOff>85725</xdr:rowOff>
    </xdr:to>
    <xdr:graphicFrame macro="">
      <xdr:nvGraphicFramePr>
        <xdr:cNvPr id="3" name="Chart 2">
          <a:extLst>
            <a:ext uri="{FF2B5EF4-FFF2-40B4-BE49-F238E27FC236}">
              <a16:creationId xmlns:a16="http://schemas.microsoft.com/office/drawing/2014/main" id="{D001F131-9B00-48A7-4714-49288E57775B}"/>
            </a:ext>
            <a:ext uri="{147F2762-F138-4A5C-976F-8EAC2B608ADB}">
              <a16:predDERef xmlns:a16="http://schemas.microsoft.com/office/drawing/2014/main" pred="{2AECDA73-4C52-44FE-AFA9-A7B235268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50</xdr:row>
      <xdr:rowOff>171450</xdr:rowOff>
    </xdr:from>
    <xdr:to>
      <xdr:col>13</xdr:col>
      <xdr:colOff>104775</xdr:colOff>
      <xdr:row>65</xdr:row>
      <xdr:rowOff>266700</xdr:rowOff>
    </xdr:to>
    <xdr:graphicFrame macro="">
      <xdr:nvGraphicFramePr>
        <xdr:cNvPr id="6" name="Chart 5">
          <a:extLst>
            <a:ext uri="{FF2B5EF4-FFF2-40B4-BE49-F238E27FC236}">
              <a16:creationId xmlns:a16="http://schemas.microsoft.com/office/drawing/2014/main" id="{762220EE-76FB-93B6-8425-1BFA1F606D80}"/>
            </a:ext>
            <a:ext uri="{147F2762-F138-4A5C-976F-8EAC2B608ADB}">
              <a16:predDERef xmlns:a16="http://schemas.microsoft.com/office/drawing/2014/main" pred="{D001F131-9B00-48A7-4714-49288E577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0</xdr:row>
      <xdr:rowOff>28575</xdr:rowOff>
    </xdr:from>
    <xdr:to>
      <xdr:col>13</xdr:col>
      <xdr:colOff>0</xdr:colOff>
      <xdr:row>19</xdr:row>
      <xdr:rowOff>95250</xdr:rowOff>
    </xdr:to>
    <xdr:graphicFrame macro="">
      <xdr:nvGraphicFramePr>
        <xdr:cNvPr id="2" name="Chart 1">
          <a:extLst>
            <a:ext uri="{FF2B5EF4-FFF2-40B4-BE49-F238E27FC236}">
              <a16:creationId xmlns:a16="http://schemas.microsoft.com/office/drawing/2014/main" id="{B1ED6A7C-226C-00FC-7F1E-D90D70990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42</xdr:row>
      <xdr:rowOff>152400</xdr:rowOff>
    </xdr:from>
    <xdr:to>
      <xdr:col>15</xdr:col>
      <xdr:colOff>333375</xdr:colOff>
      <xdr:row>59</xdr:row>
      <xdr:rowOff>142875</xdr:rowOff>
    </xdr:to>
    <xdr:graphicFrame macro="">
      <xdr:nvGraphicFramePr>
        <xdr:cNvPr id="3" name="Chart 2">
          <a:extLst>
            <a:ext uri="{FF2B5EF4-FFF2-40B4-BE49-F238E27FC236}">
              <a16:creationId xmlns:a16="http://schemas.microsoft.com/office/drawing/2014/main" id="{1CC15D66-C9DE-1C7D-437A-4DBBFE4EC7A6}"/>
            </a:ext>
            <a:ext uri="{147F2762-F138-4A5C-976F-8EAC2B608ADB}">
              <a16:predDERef xmlns:a16="http://schemas.microsoft.com/office/drawing/2014/main" pred="{B1ED6A7C-226C-00FC-7F1E-D90D70990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104775</xdr:colOff>
      <xdr:row>0</xdr:row>
      <xdr:rowOff>38100</xdr:rowOff>
    </xdr:from>
    <xdr:to>
      <xdr:col>20</xdr:col>
      <xdr:colOff>161925</xdr:colOff>
      <xdr:row>20</xdr:row>
      <xdr:rowOff>66675</xdr:rowOff>
    </xdr:to>
    <xdr:graphicFrame macro="">
      <xdr:nvGraphicFramePr>
        <xdr:cNvPr id="5" name="Chart 4">
          <a:extLst>
            <a:ext uri="{FF2B5EF4-FFF2-40B4-BE49-F238E27FC236}">
              <a16:creationId xmlns:a16="http://schemas.microsoft.com/office/drawing/2014/main" id="{DB6D9819-1166-03BD-8BEF-EE44228FF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25</xdr:row>
      <xdr:rowOff>171450</xdr:rowOff>
    </xdr:from>
    <xdr:to>
      <xdr:col>15</xdr:col>
      <xdr:colOff>57150</xdr:colOff>
      <xdr:row>43</xdr:row>
      <xdr:rowOff>133350</xdr:rowOff>
    </xdr:to>
    <xdr:graphicFrame macro="">
      <xdr:nvGraphicFramePr>
        <xdr:cNvPr id="3" name="Chart 2">
          <a:extLst>
            <a:ext uri="{FF2B5EF4-FFF2-40B4-BE49-F238E27FC236}">
              <a16:creationId xmlns:a16="http://schemas.microsoft.com/office/drawing/2014/main" id="{CE3E2FBF-611F-230B-9991-0B89FC5FA516}"/>
            </a:ext>
            <a:ext uri="{147F2762-F138-4A5C-976F-8EAC2B608ADB}">
              <a16:predDERef xmlns:a16="http://schemas.microsoft.com/office/drawing/2014/main" pred="{DB6D9819-1166-03BD-8BEF-EE44228FF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xdr:colOff>
      <xdr:row>69</xdr:row>
      <xdr:rowOff>171450</xdr:rowOff>
    </xdr:from>
    <xdr:to>
      <xdr:col>7</xdr:col>
      <xdr:colOff>409575</xdr:colOff>
      <xdr:row>84</xdr:row>
      <xdr:rowOff>104775</xdr:rowOff>
    </xdr:to>
    <xdr:graphicFrame macro="">
      <xdr:nvGraphicFramePr>
        <xdr:cNvPr id="8" name="Chart 7">
          <a:extLst>
            <a:ext uri="{FF2B5EF4-FFF2-40B4-BE49-F238E27FC236}">
              <a16:creationId xmlns:a16="http://schemas.microsoft.com/office/drawing/2014/main" id="{5DE1AD37-7B60-35BC-367D-C918E581BB16}"/>
            </a:ext>
            <a:ext uri="{147F2762-F138-4A5C-976F-8EAC2B608ADB}">
              <a16:predDERef xmlns:a16="http://schemas.microsoft.com/office/drawing/2014/main" pred="{CE3E2FBF-611F-230B-9991-0B89FC5FA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xdr:colOff>
      <xdr:row>0</xdr:row>
      <xdr:rowOff>76200</xdr:rowOff>
    </xdr:from>
    <xdr:to>
      <xdr:col>20</xdr:col>
      <xdr:colOff>561975</xdr:colOff>
      <xdr:row>21</xdr:row>
      <xdr:rowOff>114300</xdr:rowOff>
    </xdr:to>
    <xdr:graphicFrame macro="">
      <xdr:nvGraphicFramePr>
        <xdr:cNvPr id="2" name="Chart 1">
          <a:extLst>
            <a:ext uri="{FF2B5EF4-FFF2-40B4-BE49-F238E27FC236}">
              <a16:creationId xmlns:a16="http://schemas.microsoft.com/office/drawing/2014/main" id="{7B35CF13-F712-FF1E-F693-21B42220B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62</xdr:row>
      <xdr:rowOff>9525</xdr:rowOff>
    </xdr:from>
    <xdr:to>
      <xdr:col>20</xdr:col>
      <xdr:colOff>533400</xdr:colOff>
      <xdr:row>78</xdr:row>
      <xdr:rowOff>152400</xdr:rowOff>
    </xdr:to>
    <xdr:graphicFrame macro="">
      <xdr:nvGraphicFramePr>
        <xdr:cNvPr id="3" name="Chart 2">
          <a:extLst>
            <a:ext uri="{FF2B5EF4-FFF2-40B4-BE49-F238E27FC236}">
              <a16:creationId xmlns:a16="http://schemas.microsoft.com/office/drawing/2014/main" id="{BD79DB9F-E9E4-0B0A-DB0B-FE52B5DC360C}"/>
            </a:ext>
            <a:ext uri="{147F2762-F138-4A5C-976F-8EAC2B608ADB}">
              <a16:predDERef xmlns:a16="http://schemas.microsoft.com/office/drawing/2014/main" pred="{7B35CF13-F712-FF1E-F693-21B42220B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122</xdr:row>
      <xdr:rowOff>47625</xdr:rowOff>
    </xdr:from>
    <xdr:to>
      <xdr:col>13</xdr:col>
      <xdr:colOff>38100</xdr:colOff>
      <xdr:row>139</xdr:row>
      <xdr:rowOff>38100</xdr:rowOff>
    </xdr:to>
    <xdr:graphicFrame macro="">
      <xdr:nvGraphicFramePr>
        <xdr:cNvPr id="5" name="Chart 4">
          <a:extLst>
            <a:ext uri="{FF2B5EF4-FFF2-40B4-BE49-F238E27FC236}">
              <a16:creationId xmlns:a16="http://schemas.microsoft.com/office/drawing/2014/main" id="{232E9DA5-F5E5-6174-372D-B9DA9D7C134E}"/>
            </a:ext>
            <a:ext uri="{147F2762-F138-4A5C-976F-8EAC2B608ADB}">
              <a16:predDERef xmlns:a16="http://schemas.microsoft.com/office/drawing/2014/main" pred="{BD79DB9F-E9E4-0B0A-DB0B-FE52B5DC3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9.914701967595" createdVersion="8" refreshedVersion="8" minRefreshableVersion="3" recordCount="300" xr:uid="{08CDE487-FFBA-40AE-9CCD-6972C4BD7EEB}">
  <cacheSource type="worksheet">
    <worksheetSource ref="A1:U301" sheet="Posts"/>
  </cacheSource>
  <cacheFields count="21">
    <cacheField name="Post ID" numFmtId="49">
      <sharedItems containsBlank="1"/>
    </cacheField>
    <cacheField name="Platform" numFmtId="49">
      <sharedItems count="4">
        <s v="Instagram"/>
        <s v="Twitter"/>
        <s v="YouTube"/>
        <s v="Facebook"/>
      </sharedItems>
    </cacheField>
    <cacheField name="Date" numFmtId="14">
      <sharedItems/>
    </cacheField>
    <cacheField name="Content Type" numFmtId="49">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49">
      <sharedItems containsBlank="1"/>
    </cacheField>
    <cacheField name="Hashtags 3" numFmtId="49">
      <sharedItems containsBlank="1"/>
    </cacheField>
    <cacheField name="Campaign_Name" numFmtId="49">
      <sharedItems containsBlank="1" count="5">
        <m/>
        <s v="SustainabilityDrive"/>
        <s v="FSDUpdate"/>
        <s v="ModelYCampaign"/>
        <s v="CybertruckLaunch"/>
      </sharedItems>
    </cacheField>
    <cacheField name="Engagement Rate" numFmtId="9">
      <sharedItems containsSemiMixedTypes="0" containsString="0" containsNumber="1" minValue="5.2551586421122697E-2" maxValue="1.8129251700680271"/>
    </cacheField>
    <cacheField name="Unique Hashtags" numFmtId="49">
      <sharedItems containsBlank="1" count="7">
        <s v="#TeslaCoInnovation"/>
        <s v="#EVRevolution"/>
        <s v="#FutureOfDriving"/>
        <s v="#BetterWithTesla"/>
        <s v="#AnytimeIsTeslaTime"/>
        <s v="#SmoothLikeNitroTesla"/>
        <m/>
      </sharedItems>
    </cacheField>
    <cacheField name="Hashtag Uses Count" numFmtId="0">
      <sharedItems containsString="0" containsBlank="1" containsNumber="1" containsInteger="1" minValue="5" maxValue="107"/>
    </cacheField>
    <cacheField name="Campaign Start" numFmtId="14">
      <sharedItems/>
    </cacheField>
    <cacheField name="Campaign End" numFmtId="14">
      <sharedItems/>
    </cacheField>
    <cacheField name="Campaign Period" numFmtId="49">
      <sharedItems count="3">
        <s v="No Campaign"/>
        <s v="Before"/>
        <s v="Durin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9.914701967595" createdVersion="8" refreshedVersion="8" minRefreshableVersion="3" recordCount="300" xr:uid="{13C1C1AB-269A-4897-8EAE-FC8521E316E2}">
  <cacheSource type="worksheet">
    <worksheetSource ref="A1:R301" sheet="Posts"/>
  </cacheSource>
  <cacheFields count="18">
    <cacheField name="Post ID" numFmtId="49">
      <sharedItems containsBlank="1"/>
    </cacheField>
    <cacheField name="Platform" numFmtId="49">
      <sharedItems/>
    </cacheField>
    <cacheField name="Date" numFmtId="14">
      <sharedItems/>
    </cacheField>
    <cacheField name="Content Type" numFmtId="49">
      <sharedItems count="6">
        <s v="Story"/>
        <s v="Reel"/>
        <s v="Video"/>
        <s v="Carousel"/>
        <s v="Image"/>
        <s v="Text"/>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49">
      <sharedItems containsBlank="1"/>
    </cacheField>
    <cacheField name="Hashtags 3" numFmtId="49">
      <sharedItems containsBlank="1"/>
    </cacheField>
    <cacheField name="Campaign_Name" numFmtId="49">
      <sharedItems containsBlank="1" count="5">
        <m/>
        <s v="SustainabilityDrive"/>
        <s v="FSDUpdate"/>
        <s v="ModelYCampaign"/>
        <s v="CybertruckLaunch"/>
      </sharedItems>
    </cacheField>
    <cacheField name="Engagement Rate" numFmtId="9">
      <sharedItems containsSemiMixedTypes="0" containsString="0" containsNumber="1" minValue="5.2551586421122697E-2" maxValue="1.8129251700680271"/>
    </cacheField>
    <cacheField name="Unique Hashtags" numFmtId="49">
      <sharedItems containsBlank="1" count="7">
        <s v="#TeslaCoInnovation"/>
        <s v="#EVRevolution"/>
        <s v="#FutureOfDriving"/>
        <s v="#BetterWithTesla"/>
        <s v="#AnytimeIsTeslaTime"/>
        <s v="#SmoothLikeNitroTesla"/>
        <m/>
      </sharedItems>
    </cacheField>
    <cacheField name="Hashtag Uses Count" numFmtId="0">
      <sharedItems containsString="0" containsBlank="1" containsNumber="1" containsInteger="1" minValue="5" maxValue="1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9.914701967595" createdVersion="8" refreshedVersion="8" minRefreshableVersion="3" recordCount="200" xr:uid="{AE6C2895-493A-4D94-B88F-FF86BF0E0B67}">
  <cacheSource type="worksheet">
    <worksheetSource ref="A1:I201" sheet="Engagement Summary"/>
  </cacheSource>
  <cacheFields count="9">
    <cacheField name="Week_Start_Date" numFmtId="14">
      <sharedItems count="50">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sharedItems>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164">
      <sharedItems containsSemiMixedTypes="0" containsString="0" containsNumber="1" minValue="1.53" maxValue="9.48"/>
    </cacheField>
    <cacheField name="Ad_Spend" numFmtId="1">
      <sharedItems containsSemiMixedTypes="0" containsString="0" containsNumber="1" containsInteger="1" minValue="1083" maxValue="49772"/>
    </cacheField>
    <cacheField name="Net_Growth" numFmtId="1">
      <sharedItems containsSemiMixedTypes="0" containsString="0" containsNumber="1" containsInteger="1" minValue="-337" maxValue="1881"/>
    </cacheField>
    <cacheField name="Campaign Period" numFmtId="0">
      <sharedItems count="6">
        <s v="No Campaign"/>
        <s v="CybertruckLaunch"/>
        <s v="ModelYCampaign"/>
        <s v="FSDUpdate"/>
        <s v="SustainabilityDrive"/>
        <s v=""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9.914702199072" createdVersion="8" refreshedVersion="8" minRefreshableVersion="3" recordCount="300" xr:uid="{16B51671-42FE-4D2E-962E-D9DEAF1B159E}">
  <cacheSource type="worksheet">
    <worksheetSource ref="A1:Q301" sheet="Posts"/>
  </cacheSource>
  <cacheFields count="17">
    <cacheField name="Post ID" numFmtId="49">
      <sharedItems containsBlank="1"/>
    </cacheField>
    <cacheField name="Platform" numFmtId="49">
      <sharedItems count="4">
        <s v="Instagram"/>
        <s v="Twitter"/>
        <s v="YouTube"/>
        <s v="Facebook"/>
      </sharedItems>
    </cacheField>
    <cacheField name="Date" numFmtId="14">
      <sharedItems/>
    </cacheField>
    <cacheField name="Content Type" numFmtId="49">
      <sharedItems count="6">
        <s v="Story"/>
        <s v="Reel"/>
        <s v="Video"/>
        <s v="Carousel"/>
        <s v="Image"/>
        <s v="Text"/>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1" numFmtId="49">
      <sharedItems/>
    </cacheField>
    <cacheField name="Hashtags 2" numFmtId="49">
      <sharedItems containsBlank="1"/>
    </cacheField>
    <cacheField name="Hashtags 3" numFmtId="49">
      <sharedItems containsBlank="1"/>
    </cacheField>
    <cacheField name="Campaign_Name" numFmtId="49">
      <sharedItems containsBlank="1"/>
    </cacheField>
    <cacheField name="Engagement Rate" numFmtId="9">
      <sharedItems containsSemiMixedTypes="0" containsString="0" containsNumber="1" minValue="5.2551586421122697E-2" maxValue="1.8129251700680271"/>
    </cacheField>
    <cacheField name="Unique Hashtags" numFmtId="49">
      <sharedItems containsBlank="1"/>
    </cacheField>
  </cacheFields>
  <extLst>
    <ext xmlns:x14="http://schemas.microsoft.com/office/spreadsheetml/2009/9/main" uri="{725AE2AE-9491-48be-B2B4-4EB974FC3084}">
      <x14:pivotCacheDefinition pivotCacheId="118833687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9.915054976853" createdVersion="8" refreshedVersion="8" minRefreshableVersion="3" recordCount="200" xr:uid="{2D97C480-3B43-4FAA-AE94-ABFDA36AA659}">
  <cacheSource type="worksheet">
    <worksheetSource ref="A1:J201" sheet="Engagement Summary"/>
  </cacheSource>
  <cacheFields count="10">
    <cacheField name="Week_Start_Date" numFmtId="14">
      <sharedItems/>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164">
      <sharedItems containsSemiMixedTypes="0" containsString="0" containsNumber="1" minValue="1.53" maxValue="9.48"/>
    </cacheField>
    <cacheField name="Ad_Spend" numFmtId="1">
      <sharedItems containsSemiMixedTypes="0" containsString="0" containsNumber="1" containsInteger="1" minValue="1083" maxValue="49772"/>
    </cacheField>
    <cacheField name="Net_Growth" numFmtId="1">
      <sharedItems containsSemiMixedTypes="0" containsString="0" containsNumber="1" containsInteger="1" minValue="-337" maxValue="1881"/>
    </cacheField>
    <cacheField name="Campaign Period" numFmtId="0">
      <sharedItems/>
    </cacheField>
    <cacheField name="Growth Rate" numFmtId="10">
      <sharedItems containsSemiMixedTypes="0" containsString="0" containsNumber="1" minValue="-4.0819787301048958E-3" maxValue="0.108251142650950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s v="2024-06-02"/>
    <s v="Story"/>
    <s v="Check out our latest story on instagram!"/>
    <n v="84"/>
    <n v="897"/>
    <n v="85"/>
    <n v="588"/>
    <n v="8"/>
    <n v="12"/>
    <s v="#EVRevolution"/>
    <m/>
    <m/>
    <x v="0"/>
    <n v="1.8129251700680271"/>
    <x v="0"/>
    <n v="107"/>
    <s v=""/>
    <s v=""/>
    <x v="0"/>
  </r>
  <r>
    <s v="P058"/>
    <x v="0"/>
    <s v="2025-04-15"/>
    <s v="Reel"/>
    <s v="Check out our latest reel on instagram!"/>
    <n v="103"/>
    <n v="770"/>
    <n v="19"/>
    <n v="1030"/>
    <n v="410"/>
    <n v="262"/>
    <s v="#TeslaCoInnovation"/>
    <m/>
    <m/>
    <x v="1"/>
    <n v="0.86601941747572819"/>
    <x v="1"/>
    <n v="102"/>
    <s v="2025-03-01"/>
    <s v="2025-03-31"/>
    <x v="1"/>
  </r>
  <r>
    <s v="P232"/>
    <x v="1"/>
    <s v="2025-04-29"/>
    <s v="Story"/>
    <s v="Check out our latest story on twitter!"/>
    <n v="249"/>
    <n v="592"/>
    <n v="230"/>
    <n v="1494"/>
    <n v="1044"/>
    <n v="201"/>
    <s v="#EVRevolution"/>
    <m/>
    <m/>
    <x v="1"/>
    <n v="0.7168674698795181"/>
    <x v="2"/>
    <n v="103"/>
    <s v="2025-03-01"/>
    <s v="2025-03-31"/>
    <x v="1"/>
  </r>
  <r>
    <s v="P178"/>
    <x v="0"/>
    <s v="2024-11-07"/>
    <s v="Video"/>
    <s v="Check out our latest video on instagram!"/>
    <n v="129"/>
    <n v="643"/>
    <n v="136"/>
    <n v="1290"/>
    <n v="839"/>
    <n v="238"/>
    <s v="#TeslaCoInnovation"/>
    <m/>
    <m/>
    <x v="1"/>
    <n v="0.70387596899224802"/>
    <x v="3"/>
    <n v="7"/>
    <s v="2025-03-01"/>
    <s v="2025-03-31"/>
    <x v="1"/>
  </r>
  <r>
    <s v="P175"/>
    <x v="0"/>
    <s v="2025-01-17"/>
    <s v="Reel"/>
    <s v="Check out our latest reel on instagram!"/>
    <n v="142"/>
    <n v="784"/>
    <n v="183"/>
    <n v="1704"/>
    <n v="995"/>
    <n v="154"/>
    <s v="#FutureOfDriving"/>
    <m/>
    <m/>
    <x v="1"/>
    <n v="0.6508215962441315"/>
    <x v="4"/>
    <n v="15"/>
    <s v="2025-03-01"/>
    <s v="2025-03-31"/>
    <x v="1"/>
  </r>
  <r>
    <s v="P062"/>
    <x v="1"/>
    <s v="2024-11-22"/>
    <s v="Carousel"/>
    <s v="Check out our latest carousel on twitter!"/>
    <n v="53"/>
    <n v="81"/>
    <n v="379"/>
    <n v="954"/>
    <n v="7"/>
    <n v="148"/>
    <s v="#TeslaCoInnovation"/>
    <m/>
    <m/>
    <x v="2"/>
    <n v="0.53773584905660377"/>
    <x v="5"/>
    <n v="5"/>
    <s v="2024-12-25"/>
    <s v="2025-01-10"/>
    <x v="1"/>
  </r>
  <r>
    <s v="P264"/>
    <x v="1"/>
    <s v="2025-01-30"/>
    <s v="Image"/>
    <s v="Check out our latest image on twitter!"/>
    <n v="59"/>
    <n v="163"/>
    <n v="93"/>
    <n v="590"/>
    <n v="475"/>
    <n v="293"/>
    <s v="#TeslaCoInnovation"/>
    <m/>
    <m/>
    <x v="3"/>
    <n v="0.53389830508474578"/>
    <x v="6"/>
    <m/>
    <s v="2024-10-01"/>
    <s v="2024-10-31"/>
    <x v="1"/>
  </r>
  <r>
    <s v="P143"/>
    <x v="2"/>
    <s v="2024-10-02"/>
    <s v="Carousel"/>
    <s v="Check out our latest carousel on youtube!"/>
    <n v="80"/>
    <n v="362"/>
    <n v="80"/>
    <n v="1040"/>
    <n v="349"/>
    <n v="117"/>
    <s v="#TeslaCoInnovation"/>
    <m/>
    <m/>
    <x v="2"/>
    <n v="0.50192307692307692"/>
    <x v="6"/>
    <m/>
    <s v="2024-12-25"/>
    <s v="2025-01-10"/>
    <x v="1"/>
  </r>
  <r>
    <s v="P210"/>
    <x v="2"/>
    <s v="2025-02-19"/>
    <s v="Image"/>
    <s v="Check out our latest image on youtube!"/>
    <n v="257"/>
    <n v="966"/>
    <n v="398"/>
    <n v="3341"/>
    <n v="2753"/>
    <n v="287"/>
    <s v="#FutureOfDriving"/>
    <m/>
    <m/>
    <x v="4"/>
    <n v="0.48518407662376534"/>
    <x v="6"/>
    <m/>
    <s v="2024-06-15"/>
    <s v="2024-07-15"/>
    <x v="1"/>
  </r>
  <r>
    <s v="P070"/>
    <x v="3"/>
    <s v="2025-04-02"/>
    <s v="Video"/>
    <s v="Check out our latest video on facebook!"/>
    <n v="199"/>
    <n v="772"/>
    <n v="400"/>
    <n v="3582"/>
    <n v="2988"/>
    <n v="43"/>
    <s v="#TeslaCoInnovation"/>
    <m/>
    <m/>
    <x v="0"/>
    <n v="0.38274706867671693"/>
    <x v="6"/>
    <m/>
    <s v=""/>
    <s v=""/>
    <x v="0"/>
  </r>
  <r>
    <s v="P214"/>
    <x v="0"/>
    <s v="2024-12-23"/>
    <s v="Image"/>
    <s v="Check out our latest image on instagram!"/>
    <n v="521"/>
    <n v="746"/>
    <n v="315"/>
    <n v="4168"/>
    <n v="3399"/>
    <n v="282"/>
    <s v="#FutureOfDriving"/>
    <m/>
    <m/>
    <x v="3"/>
    <n v="0.37955854126679461"/>
    <x v="6"/>
    <m/>
    <s v="2024-10-01"/>
    <s v="2024-10-31"/>
    <x v="1"/>
  </r>
  <r>
    <s v="P053"/>
    <x v="2"/>
    <s v="2025-02-24"/>
    <s v="Carousel"/>
    <s v="Check out our latest carousel on youtube!"/>
    <n v="804"/>
    <n v="639"/>
    <n v="43"/>
    <n v="4020"/>
    <n v="3144"/>
    <n v="11"/>
    <s v="#EVRevolution"/>
    <s v="#BetterWithTesla"/>
    <m/>
    <x v="0"/>
    <n v="0.36965174129353234"/>
    <x v="6"/>
    <m/>
    <s v=""/>
    <s v=""/>
    <x v="0"/>
  </r>
  <r>
    <s v="P102"/>
    <x v="1"/>
    <s v="2024-09-18"/>
    <s v="Reel"/>
    <s v="Check out our latest reel on twitter!"/>
    <n v="1000"/>
    <n v="978"/>
    <n v="162"/>
    <n v="6000"/>
    <n v="5221"/>
    <n v="223"/>
    <s v="#EVRevolution"/>
    <m/>
    <m/>
    <x v="3"/>
    <n v="0.35666666666666669"/>
    <x v="6"/>
    <m/>
    <s v="2024-10-01"/>
    <s v="2024-10-31"/>
    <x v="1"/>
  </r>
  <r>
    <s v="P124"/>
    <x v="2"/>
    <s v="2025-04-06"/>
    <s v="Carousel"/>
    <s v="Check out our latest carousel on youtube!"/>
    <n v="736"/>
    <n v="771"/>
    <n v="225"/>
    <n v="5152"/>
    <n v="4706"/>
    <n v="19"/>
    <s v="#EVRevolution"/>
    <m/>
    <m/>
    <x v="4"/>
    <n v="0.33618012422360249"/>
    <x v="6"/>
    <m/>
    <s v="2024-06-15"/>
    <s v="2024-07-15"/>
    <x v="1"/>
  </r>
  <r>
    <s v="P121"/>
    <x v="0"/>
    <s v="2024-07-29"/>
    <s v="Story"/>
    <s v="Check out our latest story on instagram!"/>
    <n v="498"/>
    <n v="701"/>
    <n v="412"/>
    <n v="4980"/>
    <n v="4185"/>
    <n v="185"/>
    <s v="#FutureOfDriving"/>
    <m/>
    <m/>
    <x v="0"/>
    <n v="0.32349397590361445"/>
    <x v="6"/>
    <m/>
    <s v=""/>
    <s v=""/>
    <x v="0"/>
  </r>
  <r>
    <s v="P224"/>
    <x v="3"/>
    <s v="2025-05-13"/>
    <s v="Image"/>
    <s v="Check out our latest image on facebook!"/>
    <n v="602"/>
    <n v="594"/>
    <n v="156"/>
    <n v="4214"/>
    <n v="3363"/>
    <n v="164"/>
    <s v="#TeslaCoInnovation"/>
    <m/>
    <m/>
    <x v="2"/>
    <n v="0.32083531086853345"/>
    <x v="6"/>
    <m/>
    <s v="2024-12-25"/>
    <s v="2025-01-10"/>
    <x v="1"/>
  </r>
  <r>
    <s v="P154"/>
    <x v="0"/>
    <s v="2024-10-09"/>
    <s v="Carousel"/>
    <s v="Check out our latest carousel on instagram!"/>
    <n v="985"/>
    <n v="932"/>
    <n v="287"/>
    <n v="6895"/>
    <n v="6757"/>
    <n v="64"/>
    <s v="#FutureOfDriving"/>
    <m/>
    <m/>
    <x v="1"/>
    <n v="0.31965192168237855"/>
    <x v="6"/>
    <m/>
    <s v="2025-03-01"/>
    <s v="2025-03-31"/>
    <x v="1"/>
  </r>
  <r>
    <s v="P119"/>
    <x v="0"/>
    <s v="2025-02-07"/>
    <s v="Reel"/>
    <s v="Check out our latest reel on instagram!"/>
    <n v="1970"/>
    <n v="675"/>
    <n v="478"/>
    <n v="9850"/>
    <n v="8924"/>
    <n v="117"/>
    <s v="#FutureOfDriving"/>
    <m/>
    <m/>
    <x v="0"/>
    <n v="0.31705583756345179"/>
    <x v="6"/>
    <m/>
    <s v=""/>
    <s v=""/>
    <x v="0"/>
  </r>
  <r>
    <s v="P287"/>
    <x v="0"/>
    <s v="2024-08-15"/>
    <s v="Reel"/>
    <s v="Check out our latest reel on instagram!"/>
    <n v="1164"/>
    <n v="616"/>
    <n v="324"/>
    <n v="6984"/>
    <n v="6636"/>
    <n v="82"/>
    <s v="#EVRevolution"/>
    <m/>
    <m/>
    <x v="4"/>
    <n v="0.30126002290950743"/>
    <x v="6"/>
    <m/>
    <s v="2024-06-15"/>
    <s v="2024-07-15"/>
    <x v="1"/>
  </r>
  <r>
    <s v="P204"/>
    <x v="0"/>
    <s v="2025-01-01"/>
    <s v="Carousel"/>
    <s v="Check out our latest carousel on instagram!"/>
    <n v="2234"/>
    <n v="653"/>
    <n v="432"/>
    <n v="11170"/>
    <n v="10569"/>
    <n v="198"/>
    <s v="#FutureOfDriving"/>
    <m/>
    <m/>
    <x v="2"/>
    <n v="0.29713518352730528"/>
    <x v="6"/>
    <m/>
    <s v="2024-12-25"/>
    <s v="2025-01-10"/>
    <x v="2"/>
  </r>
  <r>
    <s v="P066"/>
    <x v="1"/>
    <s v="2024-07-26"/>
    <s v="Carousel"/>
    <s v="Check out our latest carousel on twitter!"/>
    <n v="432"/>
    <n v="171"/>
    <n v="280"/>
    <n v="3024"/>
    <n v="2285"/>
    <n v="184"/>
    <s v="#EVRevolution"/>
    <m/>
    <m/>
    <x v="4"/>
    <n v="0.29199735449735448"/>
    <x v="6"/>
    <m/>
    <s v="2024-06-15"/>
    <s v="2024-07-15"/>
    <x v="1"/>
  </r>
  <r>
    <s v="P183"/>
    <x v="0"/>
    <s v="2024-12-17"/>
    <s v="Story"/>
    <s v="Check out our latest story on instagram!"/>
    <n v="360"/>
    <n v="590"/>
    <n v="393"/>
    <n v="4680"/>
    <n v="4322"/>
    <n v="208"/>
    <s v="#FutureOfDriving"/>
    <m/>
    <m/>
    <x v="3"/>
    <n v="0.28696581196581195"/>
    <x v="6"/>
    <m/>
    <s v="2024-10-01"/>
    <s v="2024-10-31"/>
    <x v="1"/>
  </r>
  <r>
    <m/>
    <x v="0"/>
    <s v="2024-12-16"/>
    <s v="Text"/>
    <s v="Check out our latest text on instagram!"/>
    <n v="438"/>
    <n v="153"/>
    <n v="275"/>
    <n v="3066"/>
    <n v="2701"/>
    <n v="282"/>
    <s v="#TeslaCoInnovation"/>
    <m/>
    <m/>
    <x v="3"/>
    <n v="0.28245270711024134"/>
    <x v="6"/>
    <m/>
    <s v="2024-10-01"/>
    <s v="2024-10-31"/>
    <x v="1"/>
  </r>
  <r>
    <s v="P093"/>
    <x v="0"/>
    <s v="2024-12-11"/>
    <s v="Video"/>
    <s v="Check out our latest video on instagram!"/>
    <n v="1431"/>
    <n v="951"/>
    <n v="26"/>
    <n v="8586"/>
    <n v="8396"/>
    <n v="150"/>
    <s v="#EVRevolution"/>
    <m/>
    <m/>
    <x v="2"/>
    <n v="0.28045655718611695"/>
    <x v="6"/>
    <m/>
    <s v="2024-12-25"/>
    <s v="2025-01-10"/>
    <x v="1"/>
  </r>
  <r>
    <s v="P263"/>
    <x v="0"/>
    <s v="2024-08-20"/>
    <s v="Reel"/>
    <s v="Check out our latest reel on instagram!"/>
    <n v="2603"/>
    <n v="690"/>
    <n v="205"/>
    <n v="13015"/>
    <n v="12130"/>
    <n v="20"/>
    <s v="#FutureOfDriving"/>
    <m/>
    <m/>
    <x v="3"/>
    <n v="0.26876680752977333"/>
    <x v="6"/>
    <m/>
    <s v="2024-10-01"/>
    <s v="2024-10-31"/>
    <x v="1"/>
  </r>
  <r>
    <s v="P248"/>
    <x v="3"/>
    <s v="2025-02-02"/>
    <s v="Story"/>
    <s v="Check out our latest story on facebook!"/>
    <n v="886"/>
    <n v="126"/>
    <n v="153"/>
    <n v="4430"/>
    <n v="4037"/>
    <n v="212"/>
    <s v="#EVRevolution"/>
    <m/>
    <m/>
    <x v="0"/>
    <n v="0.26297968397291194"/>
    <x v="6"/>
    <m/>
    <s v=""/>
    <s v=""/>
    <x v="0"/>
  </r>
  <r>
    <s v="P244"/>
    <x v="2"/>
    <s v="2024-10-25"/>
    <s v="Video"/>
    <s v="Check out our latest video on youtube!"/>
    <n v="4661"/>
    <n v="935"/>
    <n v="433"/>
    <n v="23305"/>
    <n v="22583"/>
    <n v="63"/>
    <s v="#FutureOfDriving"/>
    <m/>
    <m/>
    <x v="2"/>
    <n v="0.25869984981763572"/>
    <x v="6"/>
    <m/>
    <s v="2024-12-25"/>
    <s v="2025-01-10"/>
    <x v="1"/>
  </r>
  <r>
    <s v="P259"/>
    <x v="3"/>
    <s v="2025-02-10"/>
    <s v="Text"/>
    <s v="Check out our latest text on facebook!"/>
    <n v="562"/>
    <n v="158"/>
    <n v="149"/>
    <n v="3372"/>
    <n v="2940"/>
    <n v="93"/>
    <s v="#TeslaCoInnovation"/>
    <m/>
    <m/>
    <x v="4"/>
    <n v="0.25771055753262156"/>
    <x v="6"/>
    <m/>
    <s v="2024-06-15"/>
    <s v="2024-07-15"/>
    <x v="1"/>
  </r>
  <r>
    <s v="P219"/>
    <x v="1"/>
    <s v="2025-01-28"/>
    <s v="Reel"/>
    <s v="Check out our latest reel on twitter!"/>
    <n v="1188"/>
    <n v="470"/>
    <n v="174"/>
    <n v="7128"/>
    <n v="6145"/>
    <n v="270"/>
    <s v="#TeslaCoInnovation"/>
    <m/>
    <m/>
    <x v="1"/>
    <n v="0.25701459034792368"/>
    <x v="6"/>
    <m/>
    <s v="2025-03-01"/>
    <s v="2025-03-31"/>
    <x v="1"/>
  </r>
  <r>
    <s v="P226"/>
    <x v="0"/>
    <s v="2024-08-07"/>
    <s v="Carousel"/>
    <s v="Check out our latest carousel on instagram!"/>
    <n v="1741"/>
    <n v="164"/>
    <n v="318"/>
    <n v="8705"/>
    <n v="8272"/>
    <n v="121"/>
    <s v="#TeslaCoInnovation"/>
    <m/>
    <m/>
    <x v="0"/>
    <n v="0.25537047673750718"/>
    <x v="6"/>
    <m/>
    <s v=""/>
    <s v=""/>
    <x v="0"/>
  </r>
  <r>
    <s v="P265"/>
    <x v="1"/>
    <s v="2025-02-20"/>
    <s v="Carousel"/>
    <s v="Check out our latest carousel on twitter!"/>
    <n v="1877"/>
    <n v="745"/>
    <n v="225"/>
    <n v="11262"/>
    <n v="10967"/>
    <n v="41"/>
    <s v="#EVRevolution"/>
    <m/>
    <m/>
    <x v="1"/>
    <n v="0.25279701651571657"/>
    <x v="6"/>
    <m/>
    <s v="2025-03-01"/>
    <s v="2025-03-31"/>
    <x v="1"/>
  </r>
  <r>
    <s v="P239"/>
    <x v="2"/>
    <s v="2025-02-24"/>
    <s v="Text"/>
    <s v="Check out our latest text on youtube!"/>
    <n v="4188"/>
    <n v="942"/>
    <n v="118"/>
    <n v="20940"/>
    <n v="20471"/>
    <n v="102"/>
    <s v="#FutureOfDriving"/>
    <m/>
    <m/>
    <x v="0"/>
    <n v="0.25062082139446035"/>
    <x v="6"/>
    <m/>
    <s v=""/>
    <s v=""/>
    <x v="0"/>
  </r>
  <r>
    <s v="P277"/>
    <x v="3"/>
    <s v="2025-04-06"/>
    <s v="Image"/>
    <s v="Check out our latest image on facebook!"/>
    <n v="4236"/>
    <n v="711"/>
    <n v="298"/>
    <n v="21180"/>
    <n v="20516"/>
    <n v="238"/>
    <s v="#FutureOfDriving"/>
    <m/>
    <m/>
    <x v="4"/>
    <n v="0.24763928234183191"/>
    <x v="6"/>
    <m/>
    <s v="2024-06-15"/>
    <s v="2024-07-15"/>
    <x v="1"/>
  </r>
  <r>
    <s v="P297"/>
    <x v="1"/>
    <s v="2024-12-24"/>
    <s v="Text"/>
    <s v="Check out our latest text on twitter!"/>
    <n v="2166"/>
    <n v="354"/>
    <n v="117"/>
    <n v="10830"/>
    <n v="10245"/>
    <n v="24"/>
    <s v="#EVRevolution"/>
    <m/>
    <m/>
    <x v="1"/>
    <n v="0.24349030470914126"/>
    <x v="6"/>
    <m/>
    <s v="2025-03-01"/>
    <s v="2025-03-31"/>
    <x v="1"/>
  </r>
  <r>
    <s v="P181"/>
    <x v="2"/>
    <s v="2025-03-21"/>
    <s v="Image"/>
    <s v="Check out our latest image on youtube!"/>
    <n v="606"/>
    <n v="789"/>
    <n v="470"/>
    <n v="7878"/>
    <n v="7389"/>
    <n v="239"/>
    <s v="#EVRevolution"/>
    <m/>
    <m/>
    <x v="2"/>
    <n v="0.23673521198273673"/>
    <x v="6"/>
    <m/>
    <s v="2024-12-25"/>
    <s v="2025-01-10"/>
    <x v="1"/>
  </r>
  <r>
    <s v="P246"/>
    <x v="3"/>
    <s v="2024-10-11"/>
    <s v="Image"/>
    <s v="Check out our latest image on facebook!"/>
    <n v="400"/>
    <n v="680"/>
    <n v="434"/>
    <n v="6400"/>
    <n v="5472"/>
    <n v="160"/>
    <s v="#FutureOfDriving"/>
    <m/>
    <m/>
    <x v="3"/>
    <n v="0.23656250000000001"/>
    <x v="6"/>
    <m/>
    <s v="2024-10-01"/>
    <s v="2024-10-31"/>
    <x v="2"/>
  </r>
  <r>
    <s v="P123"/>
    <x v="0"/>
    <s v="2024-06-14"/>
    <s v="Story"/>
    <s v="Check out our latest story on instagram!"/>
    <n v="4363"/>
    <n v="649"/>
    <n v="140"/>
    <n v="21815"/>
    <n v="21481"/>
    <n v="157"/>
    <s v="#EVRevolution"/>
    <m/>
    <m/>
    <x v="4"/>
    <n v="0.23616777446710979"/>
    <x v="6"/>
    <m/>
    <s v="2024-06-15"/>
    <s v="2024-07-15"/>
    <x v="1"/>
  </r>
  <r>
    <s v="P120"/>
    <x v="3"/>
    <s v="2024-10-21"/>
    <s v="Story"/>
    <s v="Check out our latest story on facebook!"/>
    <n v="780"/>
    <n v="928"/>
    <n v="301"/>
    <n v="8580"/>
    <n v="8081"/>
    <n v="91"/>
    <s v="#EVRevolution"/>
    <m/>
    <m/>
    <x v="2"/>
    <n v="0.23414918414918415"/>
    <x v="6"/>
    <m/>
    <s v="2024-12-25"/>
    <s v="2025-01-10"/>
    <x v="1"/>
  </r>
  <r>
    <s v="P141"/>
    <x v="1"/>
    <s v="2024-08-31"/>
    <s v="Image"/>
    <s v="Check out our latest image on twitter!"/>
    <n v="3170"/>
    <n v="857"/>
    <n v="379"/>
    <n v="19020"/>
    <n v="18559"/>
    <n v="240"/>
    <s v="#FutureOfDriving"/>
    <m/>
    <m/>
    <x v="0"/>
    <n v="0.2316508937960042"/>
    <x v="6"/>
    <m/>
    <s v=""/>
    <s v=""/>
    <x v="0"/>
  </r>
  <r>
    <s v="P163"/>
    <x v="0"/>
    <s v="2025-04-08"/>
    <s v="Image"/>
    <s v="Check out our latest image on instagram!"/>
    <n v="4501"/>
    <n v="375"/>
    <n v="323"/>
    <n v="22505"/>
    <n v="21836"/>
    <n v="132"/>
    <s v="#TeslaCoInnovation"/>
    <m/>
    <m/>
    <x v="3"/>
    <n v="0.23101532992668297"/>
    <x v="6"/>
    <m/>
    <s v="2024-10-01"/>
    <s v="2024-10-31"/>
    <x v="1"/>
  </r>
  <r>
    <s v="P269"/>
    <x v="0"/>
    <s v="2024-11-05"/>
    <s v="Video"/>
    <s v="Check out our latest video on instagram!"/>
    <n v="4561"/>
    <n v="51"/>
    <n v="441"/>
    <n v="22805"/>
    <n v="21890"/>
    <n v="45"/>
    <s v="#TeslaCoInnovation"/>
    <m/>
    <m/>
    <x v="3"/>
    <n v="0.22157421618066214"/>
    <x v="6"/>
    <m/>
    <s v="2024-10-01"/>
    <s v="2024-10-31"/>
    <x v="1"/>
  </r>
  <r>
    <s v="P042"/>
    <x v="2"/>
    <s v="2025-03-05"/>
    <s v="Reel"/>
    <s v="Check out our latest reel on youtube!"/>
    <n v="1543"/>
    <n v="820"/>
    <n v="333"/>
    <n v="12344"/>
    <n v="11496"/>
    <n v="241"/>
    <s v="#EVRevolution"/>
    <m/>
    <m/>
    <x v="0"/>
    <n v="0.21840570317563188"/>
    <x v="6"/>
    <m/>
    <s v=""/>
    <s v=""/>
    <x v="0"/>
  </r>
  <r>
    <s v="P043"/>
    <x v="0"/>
    <s v="2024-12-14"/>
    <s v="Carousel"/>
    <s v="Check out our latest carousel on instagram!"/>
    <n v="2174"/>
    <n v="658"/>
    <n v="15"/>
    <n v="13044"/>
    <n v="12206"/>
    <n v="137"/>
    <s v="#TeslaCoInnovation"/>
    <m/>
    <m/>
    <x v="2"/>
    <n v="0.21826126954921804"/>
    <x v="6"/>
    <m/>
    <s v="2024-12-25"/>
    <s v="2025-01-10"/>
    <x v="1"/>
  </r>
  <r>
    <s v="P159"/>
    <x v="3"/>
    <s v="2024-11-25"/>
    <s v="Story"/>
    <s v="Check out our latest story on facebook!"/>
    <n v="2120"/>
    <n v="158"/>
    <n v="488"/>
    <n v="12720"/>
    <n v="12085"/>
    <n v="17"/>
    <s v="#FutureOfDriving"/>
    <m/>
    <m/>
    <x v="3"/>
    <n v="0.21745283018867925"/>
    <x v="6"/>
    <m/>
    <s v="2024-10-01"/>
    <s v="2024-10-31"/>
    <x v="1"/>
  </r>
  <r>
    <s v="P146"/>
    <x v="2"/>
    <s v="2024-06-05"/>
    <s v="Reel"/>
    <s v="Check out our latest reel on youtube!"/>
    <n v="3065"/>
    <n v="772"/>
    <n v="142"/>
    <n v="18390"/>
    <n v="17875"/>
    <n v="200"/>
    <s v="#EVRevolution"/>
    <s v="#AnytimeIsTeslaTime"/>
    <m/>
    <x v="0"/>
    <n v="0.21636759108210984"/>
    <x v="6"/>
    <m/>
    <s v=""/>
    <s v=""/>
    <x v="0"/>
  </r>
  <r>
    <s v="P029"/>
    <x v="0"/>
    <s v="2025-01-31"/>
    <s v="Carousel"/>
    <s v="Check out our latest carousel on instagram!"/>
    <n v="2566"/>
    <n v="118"/>
    <n v="37"/>
    <n v="12830"/>
    <n v="12264"/>
    <n v="221"/>
    <s v="#FutureOfDriving"/>
    <m/>
    <m/>
    <x v="2"/>
    <n v="0.21208106001558846"/>
    <x v="6"/>
    <m/>
    <s v="2024-12-25"/>
    <s v="2025-01-10"/>
    <x v="1"/>
  </r>
  <r>
    <s v="P137"/>
    <x v="3"/>
    <s v="2024-07-31"/>
    <s v="Video"/>
    <s v="Check out our latest video on facebook!"/>
    <n v="3008"/>
    <n v="94"/>
    <n v="37"/>
    <n v="15040"/>
    <n v="14639"/>
    <n v="277"/>
    <s v="#FutureOfDriving"/>
    <m/>
    <m/>
    <x v="0"/>
    <n v="0.20871010638297871"/>
    <x v="6"/>
    <m/>
    <s v=""/>
    <s v=""/>
    <x v="0"/>
  </r>
  <r>
    <s v="P087"/>
    <x v="1"/>
    <s v="2024-06-06"/>
    <s v="Video"/>
    <s v="Check out our latest video on twitter!"/>
    <n v="1436"/>
    <n v="765"/>
    <n v="496"/>
    <n v="12924"/>
    <n v="12701"/>
    <n v="197"/>
    <s v="#FutureOfDriving"/>
    <m/>
    <m/>
    <x v="2"/>
    <n v="0.20868152274837512"/>
    <x v="6"/>
    <m/>
    <s v="2024-12-25"/>
    <s v="2025-01-10"/>
    <x v="1"/>
  </r>
  <r>
    <s v="P271"/>
    <x v="0"/>
    <s v="2024-10-17"/>
    <s v="Video"/>
    <s v="Check out our latest video on instagram!"/>
    <n v="3575"/>
    <n v="749"/>
    <n v="111"/>
    <n v="21450"/>
    <n v="20785"/>
    <n v="195"/>
    <s v="#EVRevolution"/>
    <m/>
    <m/>
    <x v="3"/>
    <n v="0.20675990675990677"/>
    <x v="6"/>
    <m/>
    <s v="2024-10-01"/>
    <s v="2024-10-31"/>
    <x v="2"/>
  </r>
  <r>
    <s v="P077"/>
    <x v="3"/>
    <s v="2025-03-04"/>
    <s v="Story"/>
    <s v="Check out our latest story on facebook!"/>
    <n v="1249"/>
    <n v="116"/>
    <n v="420"/>
    <n v="8743"/>
    <n v="8538"/>
    <n v="63"/>
    <s v="#TeslaCoInnovation"/>
    <m/>
    <m/>
    <x v="0"/>
    <n v="0.20416333066453163"/>
    <x v="6"/>
    <m/>
    <s v=""/>
    <s v=""/>
    <x v="0"/>
  </r>
  <r>
    <s v="P136"/>
    <x v="0"/>
    <s v="2024-07-11"/>
    <s v="Text"/>
    <s v="Check out our latest text on instagram!"/>
    <n v="3134"/>
    <n v="888"/>
    <n v="444"/>
    <n v="21938"/>
    <n v="21337"/>
    <n v="130"/>
    <s v="#EVRevolution"/>
    <m/>
    <m/>
    <x v="1"/>
    <n v="0.20357370772176134"/>
    <x v="6"/>
    <m/>
    <s v="2025-03-01"/>
    <s v="2025-03-31"/>
    <x v="1"/>
  </r>
  <r>
    <s v="P258"/>
    <x v="0"/>
    <s v="2024-08-05"/>
    <s v="Story"/>
    <s v="Check out our latest story on instagram!"/>
    <n v="3601"/>
    <n v="695"/>
    <n v="75"/>
    <n v="21606"/>
    <n v="21454"/>
    <n v="172"/>
    <s v="#EVRevolution"/>
    <m/>
    <m/>
    <x v="3"/>
    <n v="0.2023049153013052"/>
    <x v="6"/>
    <m/>
    <s v="2024-10-01"/>
    <s v="2024-10-31"/>
    <x v="1"/>
  </r>
  <r>
    <s v="P276"/>
    <x v="1"/>
    <s v="2024-06-07"/>
    <s v="Carousel"/>
    <s v="Check out our latest carousel on twitter!"/>
    <n v="1556"/>
    <n v="195"/>
    <n v="131"/>
    <n v="9336"/>
    <n v="8875"/>
    <n v="137"/>
    <s v="#TeslaCoInnovation"/>
    <m/>
    <m/>
    <x v="3"/>
    <n v="0.2015852613538989"/>
    <x v="6"/>
    <m/>
    <s v="2024-10-01"/>
    <s v="2024-10-31"/>
    <x v="1"/>
  </r>
  <r>
    <s v="P148"/>
    <x v="0"/>
    <s v="2025-04-15"/>
    <s v="Video"/>
    <s v="Check out our latest video on instagram!"/>
    <n v="4133"/>
    <n v="466"/>
    <n v="327"/>
    <n v="24798"/>
    <n v="24620"/>
    <n v="176"/>
    <s v="#EVRevolution"/>
    <m/>
    <m/>
    <x v="1"/>
    <n v="0.19864505202032423"/>
    <x v="6"/>
    <m/>
    <s v="2025-03-01"/>
    <s v="2025-03-31"/>
    <x v="1"/>
  </r>
  <r>
    <s v="P198"/>
    <x v="1"/>
    <s v="2024-09-14"/>
    <s v="Image"/>
    <s v="Check out our latest image on twitter!"/>
    <n v="1048"/>
    <n v="374"/>
    <n v="450"/>
    <n v="9432"/>
    <n v="8882"/>
    <n v="158"/>
    <s v="#TeslaCoInnovation"/>
    <m/>
    <m/>
    <x v="2"/>
    <n v="0.19847328244274809"/>
    <x v="6"/>
    <m/>
    <s v="2024-12-25"/>
    <s v="2025-01-10"/>
    <x v="1"/>
  </r>
  <r>
    <s v="P152"/>
    <x v="3"/>
    <s v="2025-04-22"/>
    <s v="Image"/>
    <s v="Check out our latest image on facebook!"/>
    <n v="4804"/>
    <n v="550"/>
    <n v="270"/>
    <n v="28824"/>
    <n v="28370"/>
    <n v="47"/>
    <s v="#EVRevolution"/>
    <m/>
    <m/>
    <x v="1"/>
    <n v="0.19511518179295032"/>
    <x v="6"/>
    <m/>
    <s v="2025-03-01"/>
    <s v="2025-03-31"/>
    <x v="1"/>
  </r>
  <r>
    <s v="P286"/>
    <x v="2"/>
    <s v="2024-09-25"/>
    <s v="Video"/>
    <s v="Check out our latest video on youtube!"/>
    <n v="3389"/>
    <n v="344"/>
    <n v="229"/>
    <n v="20334"/>
    <n v="19443"/>
    <n v="228"/>
    <s v="#FutureOfDriving"/>
    <m/>
    <m/>
    <x v="2"/>
    <n v="0.19484607062063539"/>
    <x v="6"/>
    <m/>
    <s v="2024-12-25"/>
    <s v="2025-01-10"/>
    <x v="1"/>
  </r>
  <r>
    <s v="P068"/>
    <x v="0"/>
    <s v="2024-12-08"/>
    <s v="Story"/>
    <s v="Check out our latest story on instagram!"/>
    <n v="2610"/>
    <n v="126"/>
    <n v="288"/>
    <n v="15660"/>
    <n v="15145"/>
    <n v="73"/>
    <s v="#EVRevolution"/>
    <m/>
    <m/>
    <x v="0"/>
    <n v="0.19310344827586207"/>
    <x v="6"/>
    <m/>
    <s v=""/>
    <s v=""/>
    <x v="0"/>
  </r>
  <r>
    <s v="P085"/>
    <x v="0"/>
    <s v="2025-04-19"/>
    <s v="Image"/>
    <s v="Check out our latest image on instagram!"/>
    <n v="4177"/>
    <n v="569"/>
    <n v="55"/>
    <n v="25062"/>
    <n v="24847"/>
    <n v="230"/>
    <s v="#FutureOfDriving"/>
    <m/>
    <m/>
    <x v="4"/>
    <n v="0.19156491900087783"/>
    <x v="6"/>
    <m/>
    <s v="2024-06-15"/>
    <s v="2024-07-15"/>
    <x v="1"/>
  </r>
  <r>
    <s v="P032"/>
    <x v="1"/>
    <s v="2024-07-31"/>
    <s v="Carousel"/>
    <s v="Check out our latest carousel on twitter!"/>
    <n v="2278"/>
    <n v="10"/>
    <n v="321"/>
    <n v="13668"/>
    <n v="12676"/>
    <n v="275"/>
    <s v="#EVRevolution"/>
    <m/>
    <m/>
    <x v="4"/>
    <n v="0.19088381621305239"/>
    <x v="6"/>
    <m/>
    <s v="2024-06-15"/>
    <s v="2024-07-15"/>
    <x v="1"/>
  </r>
  <r>
    <s v="P218"/>
    <x v="3"/>
    <s v="2024-06-11"/>
    <s v="Carousel"/>
    <s v="Check out our latest carousel on facebook!"/>
    <n v="1869"/>
    <n v="453"/>
    <n v="490"/>
    <n v="14952"/>
    <n v="14309"/>
    <n v="275"/>
    <s v="#TeslaCoInnovation"/>
    <m/>
    <m/>
    <x v="1"/>
    <n v="0.18806848582129482"/>
    <x v="6"/>
    <m/>
    <s v="2025-03-01"/>
    <s v="2025-03-31"/>
    <x v="1"/>
  </r>
  <r>
    <s v="P211"/>
    <x v="1"/>
    <s v="2024-07-18"/>
    <s v="Carousel"/>
    <s v="Check out our latest carousel on twitter!"/>
    <n v="2120"/>
    <n v="38"/>
    <n v="212"/>
    <n v="12720"/>
    <n v="12564"/>
    <n v="21"/>
    <s v="#FutureOfDriving"/>
    <m/>
    <m/>
    <x v="1"/>
    <n v="0.18632075471698112"/>
    <x v="6"/>
    <m/>
    <s v="2025-03-01"/>
    <s v="2025-03-31"/>
    <x v="1"/>
  </r>
  <r>
    <s v="P242"/>
    <x v="3"/>
    <s v="2024-07-07"/>
    <s v="Reel"/>
    <s v="Check out our latest reel on facebook!"/>
    <n v="4767"/>
    <n v="190"/>
    <n v="340"/>
    <n v="28602"/>
    <n v="28044"/>
    <n v="210"/>
    <s v="#EVRevolution"/>
    <m/>
    <m/>
    <x v="2"/>
    <n v="0.18519683938186141"/>
    <x v="6"/>
    <m/>
    <s v="2024-12-25"/>
    <s v="2025-01-10"/>
    <x v="1"/>
  </r>
  <r>
    <s v="P041"/>
    <x v="0"/>
    <s v="2025-03-08"/>
    <s v="Reel"/>
    <s v="Check out our latest reel on instagram!"/>
    <n v="456"/>
    <n v="629"/>
    <n v="428"/>
    <n v="8208"/>
    <n v="7377"/>
    <n v="205"/>
    <s v="#FutureOfDriving"/>
    <m/>
    <m/>
    <x v="1"/>
    <n v="0.18433235867446393"/>
    <x v="6"/>
    <m/>
    <s v="2025-03-01"/>
    <s v="2025-03-31"/>
    <x v="2"/>
  </r>
  <r>
    <s v="P294"/>
    <x v="3"/>
    <s v="2024-06-19"/>
    <s v="Carousel"/>
    <s v="Check out our latest carousel on facebook!"/>
    <n v="4731"/>
    <n v="173"/>
    <n v="276"/>
    <n v="28386"/>
    <n v="28185"/>
    <n v="89"/>
    <s v="#EVRevolution"/>
    <m/>
    <m/>
    <x v="2"/>
    <n v="0.18248432325794406"/>
    <x v="6"/>
    <m/>
    <s v="2024-12-25"/>
    <s v="2025-01-10"/>
    <x v="1"/>
  </r>
  <r>
    <s v="P006"/>
    <x v="3"/>
    <s v="2024-10-31"/>
    <s v="Carousel"/>
    <s v="Check out our latest carousel on facebook!"/>
    <n v="2945"/>
    <n v="930"/>
    <n v="355"/>
    <n v="23560"/>
    <n v="23275"/>
    <n v="256"/>
    <s v="#TeslaCoInnovation"/>
    <m/>
    <m/>
    <x v="3"/>
    <n v="0.17954159592529711"/>
    <x v="6"/>
    <m/>
    <s v="2024-10-01"/>
    <s v="2024-10-31"/>
    <x v="2"/>
  </r>
  <r>
    <s v="P153"/>
    <x v="1"/>
    <s v="2025-01-01"/>
    <s v="Video"/>
    <s v="Check out our latest video on twitter!"/>
    <n v="754"/>
    <n v="197"/>
    <n v="257"/>
    <n v="6786"/>
    <n v="6221"/>
    <n v="212"/>
    <s v="#TeslaCoInnovation"/>
    <m/>
    <m/>
    <x v="2"/>
    <n v="0.17801355732390214"/>
    <x v="6"/>
    <m/>
    <s v="2024-12-25"/>
    <s v="2025-01-10"/>
    <x v="2"/>
  </r>
  <r>
    <s v="P037"/>
    <x v="3"/>
    <s v="2025-01-06"/>
    <s v="Carousel"/>
    <s v="Check out our latest carousel on facebook!"/>
    <n v="3024"/>
    <n v="925"/>
    <n v="350"/>
    <n v="24192"/>
    <n v="23518"/>
    <n v="36"/>
    <s v="#EVRevolution"/>
    <m/>
    <m/>
    <x v="3"/>
    <n v="0.17770337301587302"/>
    <x v="6"/>
    <m/>
    <s v="2024-10-01"/>
    <s v="2024-10-31"/>
    <x v="1"/>
  </r>
  <r>
    <s v="P241"/>
    <x v="3"/>
    <s v="2025-01-18"/>
    <s v="Story"/>
    <s v="Check out our latest story on facebook!"/>
    <n v="4321"/>
    <n v="874"/>
    <n v="172"/>
    <n v="30247"/>
    <n v="29254"/>
    <n v="122"/>
    <s v="#TeslaCoInnovation"/>
    <m/>
    <m/>
    <x v="1"/>
    <n v="0.17743908486792079"/>
    <x v="6"/>
    <m/>
    <s v="2025-03-01"/>
    <s v="2025-03-31"/>
    <x v="1"/>
  </r>
  <r>
    <s v="P112"/>
    <x v="1"/>
    <s v="2024-10-05"/>
    <s v="Story"/>
    <s v="Check out our latest story on twitter!"/>
    <n v="1957"/>
    <n v="877"/>
    <n v="238"/>
    <n v="17613"/>
    <n v="16865"/>
    <n v="297"/>
    <s v="#FutureOfDriving"/>
    <m/>
    <m/>
    <x v="2"/>
    <n v="0.17441662408448305"/>
    <x v="6"/>
    <m/>
    <s v="2024-12-25"/>
    <s v="2025-01-10"/>
    <x v="1"/>
  </r>
  <r>
    <s v="P129"/>
    <x v="1"/>
    <s v="2024-07-21"/>
    <s v="Text"/>
    <s v="Check out our latest text on twitter!"/>
    <n v="2147"/>
    <n v="430"/>
    <n v="393"/>
    <n v="17176"/>
    <n v="16483"/>
    <n v="170"/>
    <s v="#TeslaCoInnovation"/>
    <m/>
    <m/>
    <x v="0"/>
    <n v="0.17291569632044715"/>
    <x v="6"/>
    <m/>
    <s v=""/>
    <s v=""/>
    <x v="0"/>
  </r>
  <r>
    <s v="P028"/>
    <x v="0"/>
    <s v="2025-03-04"/>
    <s v="Video"/>
    <s v="Check out our latest video on instagram!"/>
    <n v="432"/>
    <n v="624"/>
    <n v="123"/>
    <n v="6912"/>
    <n v="6259"/>
    <n v="79"/>
    <s v="#FutureOfDriving"/>
    <m/>
    <m/>
    <x v="1"/>
    <n v="0.17057291666666666"/>
    <x v="6"/>
    <m/>
    <s v="2025-03-01"/>
    <s v="2025-03-31"/>
    <x v="2"/>
  </r>
  <r>
    <s v="P046"/>
    <x v="1"/>
    <s v="2025-05-02"/>
    <s v="Video"/>
    <s v="Check out our latest video on twitter!"/>
    <n v="1108"/>
    <n v="177"/>
    <n v="212"/>
    <n v="8864"/>
    <n v="8710"/>
    <n v="97"/>
    <s v="#TeslaCoInnovation"/>
    <m/>
    <m/>
    <x v="1"/>
    <n v="0.16888537906137185"/>
    <x v="6"/>
    <m/>
    <s v="2025-03-01"/>
    <s v="2025-03-31"/>
    <x v="1"/>
  </r>
  <r>
    <s v="P089"/>
    <x v="1"/>
    <s v="2025-01-10"/>
    <s v="Image"/>
    <s v="Check out our latest image on twitter!"/>
    <n v="2214"/>
    <n v="249"/>
    <n v="152"/>
    <n v="15498"/>
    <n v="14800"/>
    <n v="180"/>
    <s v="#EVRevolution"/>
    <m/>
    <m/>
    <x v="0"/>
    <n v="0.16873144921925409"/>
    <x v="6"/>
    <m/>
    <s v=""/>
    <s v=""/>
    <x v="0"/>
  </r>
  <r>
    <s v="P094"/>
    <x v="0"/>
    <s v="2024-11-07"/>
    <s v="Image"/>
    <s v="Check out our latest image on instagram!"/>
    <n v="2647"/>
    <n v="304"/>
    <n v="170"/>
    <n v="18529"/>
    <n v="17841"/>
    <n v="46"/>
    <s v="#FutureOfDriving"/>
    <m/>
    <m/>
    <x v="2"/>
    <n v="0.16843866371633656"/>
    <x v="6"/>
    <m/>
    <s v="2024-12-25"/>
    <s v="2025-01-10"/>
    <x v="1"/>
  </r>
  <r>
    <s v="P116"/>
    <x v="2"/>
    <s v="2025-03-18"/>
    <s v="Reel"/>
    <s v="Check out our latest reel on youtube!"/>
    <n v="3704"/>
    <n v="186"/>
    <n v="458"/>
    <n v="25928"/>
    <n v="25081"/>
    <n v="131"/>
    <s v="#TeslaCoInnovation"/>
    <m/>
    <m/>
    <x v="0"/>
    <n v="0.16769515581610614"/>
    <x v="6"/>
    <m/>
    <s v=""/>
    <s v=""/>
    <x v="0"/>
  </r>
  <r>
    <s v="P275"/>
    <x v="3"/>
    <s v="2024-08-05"/>
    <s v="Reel"/>
    <s v="Check out our latest reel on facebook!"/>
    <n v="1741"/>
    <n v="831"/>
    <n v="345"/>
    <n v="17410"/>
    <n v="16844"/>
    <n v="58"/>
    <s v="#EVRevolution"/>
    <m/>
    <m/>
    <x v="2"/>
    <n v="0.16754738655944859"/>
    <x v="6"/>
    <m/>
    <s v="2024-12-25"/>
    <s v="2025-01-10"/>
    <x v="1"/>
  </r>
  <r>
    <s v="P109"/>
    <x v="1"/>
    <s v="2024-08-08"/>
    <s v="Story"/>
    <s v="Check out our latest story on twitter!"/>
    <n v="3649"/>
    <n v="215"/>
    <n v="413"/>
    <n v="25543"/>
    <n v="24963"/>
    <n v="167"/>
    <s v="#FutureOfDriving"/>
    <m/>
    <m/>
    <x v="2"/>
    <n v="0.16744313510550835"/>
    <x v="6"/>
    <m/>
    <s v="2024-12-25"/>
    <s v="2025-01-10"/>
    <x v="1"/>
  </r>
  <r>
    <s v="P047"/>
    <x v="1"/>
    <s v="2025-02-24"/>
    <s v="Carousel"/>
    <s v="Check out our latest carousel on twitter!"/>
    <n v="2704"/>
    <n v="752"/>
    <n v="153"/>
    <n v="21632"/>
    <n v="20792"/>
    <n v="127"/>
    <s v="#FutureOfDriving"/>
    <m/>
    <m/>
    <x v="0"/>
    <n v="0.16683616863905326"/>
    <x v="6"/>
    <m/>
    <s v=""/>
    <s v=""/>
    <x v="0"/>
  </r>
  <r>
    <s v="P295"/>
    <x v="1"/>
    <s v="2025-05-06"/>
    <s v="Image"/>
    <s v="Check out our latest image on twitter!"/>
    <n v="1952"/>
    <n v="344"/>
    <n v="287"/>
    <n v="15616"/>
    <n v="15403"/>
    <n v="235"/>
    <s v="#FutureOfDriving"/>
    <s v="#TeslaCoInnovation"/>
    <s v="#AnytimeIsTeslaTime"/>
    <x v="3"/>
    <n v="0.16540727459016394"/>
    <x v="6"/>
    <m/>
    <s v="2024-10-01"/>
    <s v="2024-10-31"/>
    <x v="1"/>
  </r>
  <r>
    <s v="P054"/>
    <x v="2"/>
    <s v="2025-03-13"/>
    <s v="Carousel"/>
    <s v="Check out our latest carousel on youtube!"/>
    <n v="1686"/>
    <n v="904"/>
    <n v="472"/>
    <n v="18546"/>
    <n v="18171"/>
    <n v="52"/>
    <s v="#FutureOfDriving"/>
    <m/>
    <m/>
    <x v="3"/>
    <n v="0.16510298716704411"/>
    <x v="6"/>
    <m/>
    <s v="2024-10-01"/>
    <s v="2024-10-31"/>
    <x v="1"/>
  </r>
  <r>
    <s v="P060"/>
    <x v="0"/>
    <s v="2025-01-28"/>
    <s v="Video"/>
    <s v="Check out our latest video on instagram!"/>
    <n v="904"/>
    <n v="973"/>
    <n v="63"/>
    <n v="11752"/>
    <n v="11580"/>
    <n v="84"/>
    <s v="#EVRevolution"/>
    <s v="#TeslaCoInnovation"/>
    <s v="#AnytimeIsTeslaTime"/>
    <x v="2"/>
    <n v="0.1650782845473111"/>
    <x v="6"/>
    <m/>
    <s v="2024-12-25"/>
    <s v="2025-01-10"/>
    <x v="1"/>
  </r>
  <r>
    <s v="P083"/>
    <x v="2"/>
    <s v="2024-10-15"/>
    <s v="Video"/>
    <s v="Check out our latest video on youtube!"/>
    <n v="1094"/>
    <n v="472"/>
    <n v="21"/>
    <n v="9846"/>
    <n v="9609"/>
    <n v="112"/>
    <s v="#EVRevolution"/>
    <m/>
    <m/>
    <x v="0"/>
    <n v="0.16118220597196831"/>
    <x v="6"/>
    <m/>
    <s v=""/>
    <s v=""/>
    <x v="0"/>
  </r>
  <r>
    <s v="P138"/>
    <x v="1"/>
    <s v="2025-03-29"/>
    <s v="Image"/>
    <s v="Check out our latest image on twitter!"/>
    <n v="305"/>
    <n v="187"/>
    <n v="243"/>
    <n v="4575"/>
    <n v="3704"/>
    <n v="234"/>
    <s v="#FutureOfDriving"/>
    <m/>
    <m/>
    <x v="2"/>
    <n v="0.16065573770491803"/>
    <x v="6"/>
    <m/>
    <s v="2024-12-25"/>
    <s v="2025-01-10"/>
    <x v="1"/>
  </r>
  <r>
    <s v="P221"/>
    <x v="3"/>
    <s v="2025-03-23"/>
    <s v="Video"/>
    <s v="Check out our latest video on facebook!"/>
    <n v="4453"/>
    <n v="111"/>
    <n v="420"/>
    <n v="31171"/>
    <n v="30565"/>
    <n v="23"/>
    <s v="#TeslaCoInnovation"/>
    <m/>
    <m/>
    <x v="0"/>
    <n v="0.15989220750056141"/>
    <x v="6"/>
    <m/>
    <s v=""/>
    <s v=""/>
    <x v="0"/>
  </r>
  <r>
    <s v="P252"/>
    <x v="3"/>
    <s v="2025-04-28"/>
    <s v="Carousel"/>
    <s v="Check out our latest carousel on facebook!"/>
    <n v="2089"/>
    <n v="476"/>
    <n v="69"/>
    <n v="16712"/>
    <n v="16309"/>
    <n v="64"/>
    <s v="#FutureOfDriving"/>
    <m/>
    <m/>
    <x v="2"/>
    <n v="0.15761129727142173"/>
    <x v="6"/>
    <m/>
    <s v="2024-12-25"/>
    <s v="2025-01-10"/>
    <x v="1"/>
  </r>
  <r>
    <s v="P052"/>
    <x v="3"/>
    <s v="2025-01-03"/>
    <s v="Image"/>
    <s v="Check out our latest image on facebook!"/>
    <n v="947"/>
    <n v="338"/>
    <n v="350"/>
    <n v="10417"/>
    <n v="9730"/>
    <n v="34"/>
    <s v="#TeslaCoInnovation"/>
    <m/>
    <m/>
    <x v="1"/>
    <n v="0.1569549774407219"/>
    <x v="6"/>
    <m/>
    <s v="2025-03-01"/>
    <s v="2025-03-31"/>
    <x v="1"/>
  </r>
  <r>
    <s v="P140"/>
    <x v="3"/>
    <s v="2024-07-15"/>
    <s v="Image"/>
    <s v="Check out our latest image on facebook!"/>
    <n v="2291"/>
    <n v="78"/>
    <n v="485"/>
    <n v="18328"/>
    <n v="18101"/>
    <n v="10"/>
    <s v="#EVRevolution"/>
    <s v="#SmoothLikeNitroTesla"/>
    <m/>
    <x v="3"/>
    <n v="0.15571802706241816"/>
    <x v="6"/>
    <m/>
    <s v="2024-10-01"/>
    <s v="2024-10-31"/>
    <x v="1"/>
  </r>
  <r>
    <s v="P165"/>
    <x v="1"/>
    <s v="2024-12-11"/>
    <s v="Text"/>
    <s v="Check out our latest text on twitter!"/>
    <n v="3239"/>
    <n v="43"/>
    <n v="211"/>
    <n v="22673"/>
    <n v="22171"/>
    <n v="230"/>
    <s v="#TeslaCoInnovation"/>
    <m/>
    <m/>
    <x v="3"/>
    <n v="0.15405989502933004"/>
    <x v="6"/>
    <m/>
    <s v="2024-10-01"/>
    <s v="2024-10-31"/>
    <x v="1"/>
  </r>
  <r>
    <s v="P164"/>
    <x v="2"/>
    <s v="2025-02-27"/>
    <s v="Text"/>
    <s v="Check out our latest text on youtube!"/>
    <n v="4934"/>
    <n v="971"/>
    <n v="156"/>
    <n v="39472"/>
    <n v="39025"/>
    <n v="169"/>
    <s v="#TeslaCoInnovation"/>
    <s v="#AnytimeIsTeslaTime"/>
    <m/>
    <x v="1"/>
    <n v="0.15355188488042157"/>
    <x v="6"/>
    <m/>
    <s v="2025-03-01"/>
    <s v="2025-03-31"/>
    <x v="1"/>
  </r>
  <r>
    <s v="P262"/>
    <x v="2"/>
    <s v="2025-01-18"/>
    <s v="Image"/>
    <s v="Check out our latest image on youtube!"/>
    <n v="1206"/>
    <n v="238"/>
    <n v="36"/>
    <n v="9648"/>
    <n v="9417"/>
    <n v="237"/>
    <s v="#TeslaCoInnovation"/>
    <m/>
    <m/>
    <x v="0"/>
    <n v="0.15339966832504145"/>
    <x v="6"/>
    <m/>
    <s v=""/>
    <s v=""/>
    <x v="0"/>
  </r>
  <r>
    <s v="P147"/>
    <x v="0"/>
    <s v="2024-10-21"/>
    <s v="Reel"/>
    <s v="Check out our latest reel on instagram!"/>
    <n v="3256"/>
    <n v="459"/>
    <n v="266"/>
    <n v="26048"/>
    <n v="25529"/>
    <n v="143"/>
    <s v="#TeslaCoInnovation"/>
    <m/>
    <m/>
    <x v="3"/>
    <n v="0.15283323095823095"/>
    <x v="6"/>
    <m/>
    <s v="2024-10-01"/>
    <s v="2024-10-31"/>
    <x v="2"/>
  </r>
  <r>
    <s v="P004"/>
    <x v="0"/>
    <s v="2024-08-12"/>
    <s v="Story"/>
    <s v="Check out our latest story on instagram!"/>
    <n v="2404"/>
    <n v="363"/>
    <n v="138"/>
    <n v="19232"/>
    <n v="18636"/>
    <n v="128"/>
    <s v="#EVRevolution"/>
    <m/>
    <m/>
    <x v="1"/>
    <n v="0.15105033277870217"/>
    <x v="6"/>
    <m/>
    <s v="2025-03-01"/>
    <s v="2025-03-31"/>
    <x v="1"/>
  </r>
  <r>
    <s v="P014"/>
    <x v="3"/>
    <s v="2025-02-16"/>
    <s v="Story"/>
    <s v="Check out our latest story on facebook!"/>
    <n v="4242"/>
    <n v="555"/>
    <n v="131"/>
    <n v="33936"/>
    <n v="33802"/>
    <n v="265"/>
    <s v="#FutureOfDriving"/>
    <m/>
    <m/>
    <x v="0"/>
    <n v="0.14521452145214522"/>
    <x v="6"/>
    <m/>
    <s v=""/>
    <s v=""/>
    <x v="0"/>
  </r>
  <r>
    <s v="P192"/>
    <x v="0"/>
    <s v="2024-11-29"/>
    <s v="Video"/>
    <s v="Check out our latest video on instagram!"/>
    <n v="1176"/>
    <n v="464"/>
    <n v="394"/>
    <n v="14112"/>
    <n v="13588"/>
    <n v="272"/>
    <s v="#EVRevolution"/>
    <m/>
    <m/>
    <x v="0"/>
    <n v="0.1441326530612245"/>
    <x v="6"/>
    <m/>
    <s v=""/>
    <s v=""/>
    <x v="0"/>
  </r>
  <r>
    <s v="P173"/>
    <x v="1"/>
    <s v="2024-12-05"/>
    <s v="Video"/>
    <s v="Check out our latest video on twitter!"/>
    <n v="1330"/>
    <n v="925"/>
    <n v="35"/>
    <n v="15960"/>
    <n v="15379"/>
    <n v="229"/>
    <s v="#FutureOfDriving"/>
    <m/>
    <m/>
    <x v="2"/>
    <n v="0.14348370927318296"/>
    <x v="6"/>
    <m/>
    <s v="2024-12-25"/>
    <s v="2025-01-10"/>
    <x v="1"/>
  </r>
  <r>
    <s v="P166"/>
    <x v="1"/>
    <s v="2025-02-16"/>
    <s v="Reel"/>
    <s v="Check out our latest reel on twitter!"/>
    <n v="1076"/>
    <n v="313"/>
    <n v="306"/>
    <n v="11836"/>
    <n v="11596"/>
    <n v="104"/>
    <s v="#FutureOfDriving"/>
    <m/>
    <m/>
    <x v="4"/>
    <n v="0.14320716458262928"/>
    <x v="6"/>
    <m/>
    <s v="2024-06-15"/>
    <s v="2024-07-15"/>
    <x v="1"/>
  </r>
  <r>
    <s v="P207"/>
    <x v="1"/>
    <s v="2024-12-29"/>
    <s v="Carousel"/>
    <s v="Check out our latest carousel on twitter!"/>
    <n v="4274"/>
    <n v="340"/>
    <n v="281"/>
    <n v="34192"/>
    <n v="33446"/>
    <n v="129"/>
    <s v="#TeslaCoInnovation"/>
    <s v="#SmoothLikeNitroTesla"/>
    <m/>
    <x v="2"/>
    <n v="0.14316214319138981"/>
    <x v="6"/>
    <m/>
    <s v="2024-12-25"/>
    <s v="2025-01-10"/>
    <x v="2"/>
  </r>
  <r>
    <s v="P061"/>
    <x v="1"/>
    <s v="2024-09-05"/>
    <s v="Video"/>
    <s v="Check out our latest video on twitter!"/>
    <n v="4886"/>
    <n v="983"/>
    <n v="409"/>
    <n v="43974"/>
    <n v="43239"/>
    <n v="65"/>
    <s v="#TeslaCoInnovation"/>
    <m/>
    <m/>
    <x v="4"/>
    <n v="0.14276618001546368"/>
    <x v="6"/>
    <m/>
    <s v="2024-06-15"/>
    <s v="2024-07-15"/>
    <x v="1"/>
  </r>
  <r>
    <s v="P125"/>
    <x v="1"/>
    <s v="2024-09-08"/>
    <s v="Carousel"/>
    <s v="Check out our latest carousel on twitter!"/>
    <n v="3811"/>
    <n v="866"/>
    <n v="216"/>
    <n v="34299"/>
    <n v="34088"/>
    <n v="233"/>
    <s v="#TeslaCoInnovation"/>
    <m/>
    <m/>
    <x v="1"/>
    <n v="0.14265722032712325"/>
    <x v="6"/>
    <m/>
    <s v="2025-03-01"/>
    <s v="2025-03-31"/>
    <x v="1"/>
  </r>
  <r>
    <s v="P272"/>
    <x v="0"/>
    <s v="2025-03-27"/>
    <s v="Text"/>
    <s v="Check out our latest text on instagram!"/>
    <n v="4941"/>
    <n v="414"/>
    <n v="266"/>
    <n v="39528"/>
    <n v="39154"/>
    <n v="217"/>
    <s v="#TeslaCoInnovation"/>
    <m/>
    <m/>
    <x v="2"/>
    <n v="0.14220299534507186"/>
    <x v="6"/>
    <m/>
    <s v="2024-12-25"/>
    <s v="2025-01-10"/>
    <x v="1"/>
  </r>
  <r>
    <s v="P040"/>
    <x v="1"/>
    <s v="2025-03-07"/>
    <s v="Image"/>
    <s v="Check out our latest image on twitter!"/>
    <n v="4750"/>
    <n v="151"/>
    <n v="415"/>
    <n v="38000"/>
    <n v="37792"/>
    <n v="299"/>
    <s v="#EVRevolution"/>
    <m/>
    <m/>
    <x v="1"/>
    <n v="0.13989473684210527"/>
    <x v="6"/>
    <m/>
    <s v="2025-03-01"/>
    <s v="2025-03-31"/>
    <x v="2"/>
  </r>
  <r>
    <s v="P299"/>
    <x v="3"/>
    <s v="2024-08-26"/>
    <s v="Image"/>
    <s v="Check out our latest image on facebook!"/>
    <n v="2581"/>
    <n v="517"/>
    <n v="117"/>
    <n v="23229"/>
    <n v="22331"/>
    <n v="70"/>
    <s v="#FutureOfDriving"/>
    <m/>
    <m/>
    <x v="2"/>
    <n v="0.13840458048129492"/>
    <x v="6"/>
    <m/>
    <s v="2024-12-25"/>
    <s v="2025-01-10"/>
    <x v="1"/>
  </r>
  <r>
    <s v="P174"/>
    <x v="3"/>
    <s v="2024-06-22"/>
    <s v="Text"/>
    <s v="Check out our latest text on facebook!"/>
    <n v="3828"/>
    <n v="148"/>
    <n v="253"/>
    <n v="30624"/>
    <n v="30229"/>
    <n v="235"/>
    <s v="#EVRevolution"/>
    <m/>
    <m/>
    <x v="0"/>
    <n v="0.13809430512016718"/>
    <x v="6"/>
    <m/>
    <s v=""/>
    <s v=""/>
    <x v="0"/>
  </r>
  <r>
    <s v="P104"/>
    <x v="2"/>
    <s v="2025-03-23"/>
    <s v="Story"/>
    <s v="Check out our latest story on youtube!"/>
    <n v="3655"/>
    <n v="568"/>
    <n v="286"/>
    <n v="32895"/>
    <n v="32015"/>
    <n v="199"/>
    <s v="#TeslaCoInnovation"/>
    <m/>
    <m/>
    <x v="2"/>
    <n v="0.13707250341997265"/>
    <x v="6"/>
    <m/>
    <s v="2024-12-25"/>
    <s v="2025-01-10"/>
    <x v="1"/>
  </r>
  <r>
    <s v="P195"/>
    <x v="0"/>
    <s v="2024-08-15"/>
    <s v="Carousel"/>
    <s v="Check out our latest carousel on instagram!"/>
    <n v="914"/>
    <n v="464"/>
    <n v="246"/>
    <n v="11882"/>
    <n v="11500"/>
    <n v="282"/>
    <s v="#FutureOfDriving"/>
    <s v="#TeslaCoInnovation"/>
    <s v="#AnytimeIsTeslaTime"/>
    <x v="1"/>
    <n v="0.13667732704931829"/>
    <x v="6"/>
    <m/>
    <s v="2025-03-01"/>
    <s v="2025-03-31"/>
    <x v="1"/>
  </r>
  <r>
    <s v="P184"/>
    <x v="1"/>
    <s v="2024-07-28"/>
    <s v="Image"/>
    <s v="Check out our latest image on twitter!"/>
    <n v="3215"/>
    <n v="960"/>
    <n v="202"/>
    <n v="32150"/>
    <n v="31404"/>
    <n v="251"/>
    <s v="#EVRevolution"/>
    <m/>
    <m/>
    <x v="4"/>
    <n v="0.13614307931570763"/>
    <x v="6"/>
    <m/>
    <s v="2024-06-15"/>
    <s v="2024-07-15"/>
    <x v="1"/>
  </r>
  <r>
    <s v="P092"/>
    <x v="1"/>
    <s v="2024-10-21"/>
    <s v="Story"/>
    <s v="Check out our latest story on twitter!"/>
    <n v="3801"/>
    <n v="967"/>
    <n v="401"/>
    <n v="38010"/>
    <n v="37625"/>
    <n v="236"/>
    <s v="#FutureOfDriving"/>
    <m/>
    <m/>
    <x v="2"/>
    <n v="0.13599052880820836"/>
    <x v="6"/>
    <m/>
    <s v="2024-12-25"/>
    <s v="2025-01-10"/>
    <x v="1"/>
  </r>
  <r>
    <s v="P088"/>
    <x v="3"/>
    <s v="2024-07-07"/>
    <s v="Story"/>
    <s v="Check out our latest story on facebook!"/>
    <n v="302"/>
    <n v="47"/>
    <n v="430"/>
    <n v="5738"/>
    <n v="4890"/>
    <n v="25"/>
    <s v="#TeslaCoInnovation"/>
    <m/>
    <m/>
    <x v="1"/>
    <n v="0.13576158940397351"/>
    <x v="6"/>
    <m/>
    <s v="2025-03-01"/>
    <s v="2025-03-31"/>
    <x v="1"/>
  </r>
  <r>
    <s v="P285"/>
    <x v="2"/>
    <s v="2024-07-18"/>
    <s v="Text"/>
    <s v="Check out our latest text on youtube!"/>
    <n v="4021"/>
    <n v="794"/>
    <n v="77"/>
    <n v="36189"/>
    <n v="35505"/>
    <n v="174"/>
    <s v="#EVRevolution"/>
    <m/>
    <m/>
    <x v="0"/>
    <n v="0.13517919809886983"/>
    <x v="6"/>
    <m/>
    <s v=""/>
    <s v=""/>
    <x v="0"/>
  </r>
  <r>
    <s v="P050"/>
    <x v="2"/>
    <s v="2024-07-03"/>
    <s v="Story"/>
    <s v="Check out our latest story on youtube!"/>
    <n v="2754"/>
    <n v="130"/>
    <n v="90"/>
    <n v="22032"/>
    <n v="21288"/>
    <n v="112"/>
    <s v="#TeslaCoInnovation"/>
    <m/>
    <m/>
    <x v="2"/>
    <n v="0.13498547567175018"/>
    <x v="6"/>
    <m/>
    <s v="2024-12-25"/>
    <s v="2025-01-10"/>
    <x v="1"/>
  </r>
  <r>
    <s v="P132"/>
    <x v="0"/>
    <s v="2025-03-04"/>
    <s v="Story"/>
    <s v="Check out our latest story on instagram!"/>
    <n v="1947"/>
    <n v="842"/>
    <n v="101"/>
    <n v="21417"/>
    <n v="20967"/>
    <n v="186"/>
    <s v="#FutureOfDriving"/>
    <m/>
    <m/>
    <x v="3"/>
    <n v="0.13493953401503478"/>
    <x v="6"/>
    <m/>
    <s v="2024-10-01"/>
    <s v="2024-10-31"/>
    <x v="1"/>
  </r>
  <r>
    <s v="P229"/>
    <x v="0"/>
    <s v="2024-07-03"/>
    <s v="Carousel"/>
    <s v="Check out our latest carousel on instagram!"/>
    <n v="4799"/>
    <n v="694"/>
    <n v="289"/>
    <n v="43191"/>
    <n v="42228"/>
    <n v="118"/>
    <s v="#TeslaCoInnovation"/>
    <m/>
    <m/>
    <x v="0"/>
    <n v="0.13387048227640017"/>
    <x v="6"/>
    <m/>
    <s v=""/>
    <s v=""/>
    <x v="0"/>
  </r>
  <r>
    <s v="P074"/>
    <x v="2"/>
    <s v="2024-10-28"/>
    <s v="Reel"/>
    <s v="Check out our latest reel on youtube!"/>
    <n v="1855"/>
    <n v="200"/>
    <n v="174"/>
    <n v="16695"/>
    <n v="16330"/>
    <n v="123"/>
    <s v="#TeslaCoInnovation"/>
    <m/>
    <m/>
    <x v="2"/>
    <n v="0.13351302785265048"/>
    <x v="6"/>
    <m/>
    <s v="2024-12-25"/>
    <s v="2025-01-10"/>
    <x v="1"/>
  </r>
  <r>
    <s v="P254"/>
    <x v="1"/>
    <s v="2025-01-14"/>
    <s v="Image"/>
    <s v="Check out our latest image on twitter!"/>
    <n v="2692"/>
    <n v="115"/>
    <n v="64"/>
    <n v="21536"/>
    <n v="21120"/>
    <n v="224"/>
    <s v="#FutureOfDriving"/>
    <m/>
    <m/>
    <x v="3"/>
    <n v="0.13331166419019316"/>
    <x v="6"/>
    <m/>
    <s v="2024-10-01"/>
    <s v="2024-10-31"/>
    <x v="1"/>
  </r>
  <r>
    <s v="P131"/>
    <x v="0"/>
    <s v="2024-10-21"/>
    <s v="Reel"/>
    <s v="Check out our latest reel on instagram!"/>
    <n v="4840"/>
    <n v="658"/>
    <n v="211"/>
    <n v="43560"/>
    <n v="43225"/>
    <n v="57"/>
    <s v="#FutureOfDriving"/>
    <m/>
    <m/>
    <x v="2"/>
    <n v="0.13106060606060607"/>
    <x v="6"/>
    <m/>
    <s v="2024-12-25"/>
    <s v="2025-01-10"/>
    <x v="1"/>
  </r>
  <r>
    <s v="P236"/>
    <x v="3"/>
    <s v="2024-08-19"/>
    <s v="Text"/>
    <s v="Check out our latest text on facebook!"/>
    <n v="1257"/>
    <n v="19"/>
    <n v="351"/>
    <n v="12570"/>
    <n v="11660"/>
    <n v="194"/>
    <s v="#FutureOfDriving"/>
    <s v="#AnytimeIsTeslaTime"/>
    <s v="#EVRevolution"/>
    <x v="3"/>
    <n v="0.12943516308671441"/>
    <x v="6"/>
    <m/>
    <s v="2024-10-01"/>
    <s v="2024-10-31"/>
    <x v="1"/>
  </r>
  <r>
    <s v="P114"/>
    <x v="1"/>
    <s v="2024-11-14"/>
    <s v="Story"/>
    <s v="Check out our latest story on twitter!"/>
    <n v="4000"/>
    <n v="689"/>
    <n v="488"/>
    <n v="40000"/>
    <n v="39569"/>
    <n v="44"/>
    <s v="#FutureOfDriving"/>
    <m/>
    <m/>
    <x v="4"/>
    <n v="0.12942500000000001"/>
    <x v="6"/>
    <m/>
    <s v="2024-06-15"/>
    <s v="2024-07-15"/>
    <x v="1"/>
  </r>
  <r>
    <s v="P056"/>
    <x v="3"/>
    <s v="2024-12-18"/>
    <s v="Carousel"/>
    <s v="Check out our latest carousel on facebook!"/>
    <n v="2946"/>
    <n v="498"/>
    <n v="367"/>
    <n v="29460"/>
    <n v="28527"/>
    <n v="60"/>
    <s v="#FutureOfDriving"/>
    <m/>
    <m/>
    <x v="2"/>
    <n v="0.12936184657162253"/>
    <x v="6"/>
    <m/>
    <s v="2024-12-25"/>
    <s v="2025-01-10"/>
    <x v="1"/>
  </r>
  <r>
    <s v="P105"/>
    <x v="0"/>
    <s v="2024-06-14"/>
    <s v="Carousel"/>
    <s v="Check out our latest carousel on instagram!"/>
    <n v="498"/>
    <n v="38"/>
    <n v="42"/>
    <n v="4482"/>
    <n v="3647"/>
    <n v="32"/>
    <s v="#FutureOfDriving"/>
    <m/>
    <m/>
    <x v="4"/>
    <n v="0.12896028558679162"/>
    <x v="6"/>
    <m/>
    <s v="2024-06-15"/>
    <s v="2024-07-15"/>
    <x v="1"/>
  </r>
  <r>
    <s v="P012"/>
    <x v="3"/>
    <s v="2024-07-21"/>
    <s v="Reel"/>
    <s v="Check out our latest reel on facebook!"/>
    <n v="1946"/>
    <n v="686"/>
    <n v="377"/>
    <n v="23352"/>
    <n v="22982"/>
    <n v="213"/>
    <s v="#FutureOfDriving"/>
    <m/>
    <m/>
    <x v="2"/>
    <n v="0.12885405960945528"/>
    <x v="6"/>
    <m/>
    <s v="2024-12-25"/>
    <s v="2025-01-10"/>
    <x v="1"/>
  </r>
  <r>
    <s v="P235"/>
    <x v="3"/>
    <s v="2024-12-22"/>
    <s v="Image"/>
    <s v="Check out our latest image on facebook!"/>
    <n v="3196"/>
    <n v="941"/>
    <n v="376"/>
    <n v="35156"/>
    <n v="34444"/>
    <n v="241"/>
    <s v="#TeslaCoInnovation"/>
    <m/>
    <m/>
    <x v="2"/>
    <n v="0.1283706906360223"/>
    <x v="6"/>
    <m/>
    <s v="2024-12-25"/>
    <s v="2025-01-10"/>
    <x v="1"/>
  </r>
  <r>
    <s v="P033"/>
    <x v="3"/>
    <s v="2024-08-21"/>
    <s v="Image"/>
    <s v="Check out our latest image on facebook!"/>
    <n v="1407"/>
    <n v="400"/>
    <n v="351"/>
    <n v="16884"/>
    <n v="15954"/>
    <n v="113"/>
    <s v="#TeslaCoInnovation"/>
    <m/>
    <m/>
    <x v="4"/>
    <n v="0.12781331438047855"/>
    <x v="6"/>
    <m/>
    <s v="2024-06-15"/>
    <s v="2024-07-15"/>
    <x v="1"/>
  </r>
  <r>
    <s v="P038"/>
    <x v="2"/>
    <s v="2025-02-17"/>
    <s v="Reel"/>
    <s v="Check out our latest reel on youtube!"/>
    <n v="3138"/>
    <n v="123"/>
    <n v="291"/>
    <n v="28242"/>
    <n v="27550"/>
    <n v="87"/>
    <s v="#TeslaCoInnovation"/>
    <m/>
    <m/>
    <x v="1"/>
    <n v="0.12577012959422137"/>
    <x v="6"/>
    <m/>
    <s v="2025-03-01"/>
    <s v="2025-03-31"/>
    <x v="1"/>
  </r>
  <r>
    <s v="P196"/>
    <x v="0"/>
    <s v="2024-12-19"/>
    <s v="Text"/>
    <s v="Check out our latest text on instagram!"/>
    <n v="1813"/>
    <n v="623"/>
    <n v="72"/>
    <n v="19943"/>
    <n v="18959"/>
    <n v="85"/>
    <s v="#EVRevolution"/>
    <m/>
    <m/>
    <x v="2"/>
    <n v="0.12575841147269717"/>
    <x v="6"/>
    <m/>
    <s v="2024-12-25"/>
    <s v="2025-01-10"/>
    <x v="1"/>
  </r>
  <r>
    <s v="P128"/>
    <x v="1"/>
    <s v="2025-01-10"/>
    <s v="Image"/>
    <s v="Check out our latest image on twitter!"/>
    <n v="3092"/>
    <n v="106"/>
    <n v="291"/>
    <n v="27828"/>
    <n v="27217"/>
    <n v="102"/>
    <s v="#FutureOfDriving"/>
    <m/>
    <m/>
    <x v="0"/>
    <n v="0.12537731780940059"/>
    <x v="6"/>
    <m/>
    <s v=""/>
    <s v=""/>
    <x v="0"/>
  </r>
  <r>
    <s v="P169"/>
    <x v="2"/>
    <s v="2024-12-03"/>
    <s v="Video"/>
    <s v="Check out our latest video on youtube!"/>
    <n v="3809"/>
    <n v="273"/>
    <n v="200"/>
    <n v="34281"/>
    <n v="33534"/>
    <n v="83"/>
    <s v="#EVRevolution"/>
    <m/>
    <m/>
    <x v="4"/>
    <n v="0.12490884163239112"/>
    <x v="6"/>
    <m/>
    <s v="2024-06-15"/>
    <s v="2024-07-15"/>
    <x v="1"/>
  </r>
  <r>
    <s v="P293"/>
    <x v="3"/>
    <s v="2025-05-14"/>
    <s v="Text"/>
    <s v="Check out our latest text on facebook!"/>
    <n v="2634"/>
    <n v="726"/>
    <n v="241"/>
    <n v="28974"/>
    <n v="28102"/>
    <n v="277"/>
    <s v="#EVRevolution"/>
    <m/>
    <m/>
    <x v="4"/>
    <n v="0.12428384068475185"/>
    <x v="6"/>
    <m/>
    <s v="2024-06-15"/>
    <s v="2024-07-15"/>
    <x v="1"/>
  </r>
  <r>
    <s v="P292"/>
    <x v="3"/>
    <s v="2024-11-17"/>
    <s v="Text"/>
    <s v="Check out our latest text on facebook!"/>
    <n v="880"/>
    <n v="297"/>
    <n v="345"/>
    <n v="12320"/>
    <n v="11978"/>
    <n v="238"/>
    <s v="#TeslaCoInnovation"/>
    <s v="#AnytimeIsTeslaTime"/>
    <m/>
    <x v="0"/>
    <n v="0.12353896103896105"/>
    <x v="6"/>
    <m/>
    <s v=""/>
    <s v=""/>
    <x v="0"/>
  </r>
  <r>
    <s v="P212"/>
    <x v="2"/>
    <s v="2025-03-03"/>
    <s v="Video"/>
    <s v="Check out our latest video on youtube!"/>
    <n v="3874"/>
    <n v="884"/>
    <n v="19"/>
    <n v="38740"/>
    <n v="38552"/>
    <n v="219"/>
    <s v="#TeslaCoInnovation"/>
    <m/>
    <m/>
    <x v="3"/>
    <n v="0.123309241094476"/>
    <x v="6"/>
    <m/>
    <s v="2024-10-01"/>
    <s v="2024-10-31"/>
    <x v="1"/>
  </r>
  <r>
    <s v="P110"/>
    <x v="0"/>
    <s v="2024-07-29"/>
    <s v="Reel"/>
    <s v="Check out our latest reel on instagram!"/>
    <n v="3523"/>
    <n v="753"/>
    <n v="482"/>
    <n v="38753"/>
    <n v="38579"/>
    <n v="270"/>
    <s v="#EVRevolution"/>
    <m/>
    <m/>
    <x v="3"/>
    <n v="0.12277759141227776"/>
    <x v="6"/>
    <m/>
    <s v="2024-10-01"/>
    <s v="2024-10-31"/>
    <x v="1"/>
  </r>
  <r>
    <s v="P245"/>
    <x v="3"/>
    <s v="2025-01-12"/>
    <s v="Reel"/>
    <s v="Check out our latest reel on facebook!"/>
    <n v="4134"/>
    <n v="824"/>
    <n v="99"/>
    <n v="41340"/>
    <n v="41050"/>
    <n v="177"/>
    <s v="#EVRevolution"/>
    <m/>
    <m/>
    <x v="4"/>
    <n v="0.12232704402515723"/>
    <x v="6"/>
    <m/>
    <s v="2024-06-15"/>
    <s v="2024-07-15"/>
    <x v="1"/>
  </r>
  <r>
    <s v="P075"/>
    <x v="0"/>
    <s v="2024-08-01"/>
    <s v="Reel"/>
    <s v="Check out our latest reel on instagram!"/>
    <n v="1674"/>
    <n v="929"/>
    <n v="37"/>
    <n v="21762"/>
    <n v="20998"/>
    <n v="255"/>
    <s v="#TeslaCoInnovation"/>
    <m/>
    <m/>
    <x v="1"/>
    <n v="0.12131237937689551"/>
    <x v="6"/>
    <m/>
    <s v="2025-03-01"/>
    <s v="2025-03-31"/>
    <x v="1"/>
  </r>
  <r>
    <s v="P255"/>
    <x v="3"/>
    <s v="2025-04-03"/>
    <s v="Story"/>
    <s v="Check out our latest story on facebook!"/>
    <n v="3767"/>
    <n v="514"/>
    <n v="238"/>
    <n v="37670"/>
    <n v="36807"/>
    <n v="226"/>
    <s v="#FutureOfDriving"/>
    <m/>
    <m/>
    <x v="1"/>
    <n v="0.11996283514733209"/>
    <x v="6"/>
    <m/>
    <s v="2025-03-01"/>
    <s v="2025-03-31"/>
    <x v="1"/>
  </r>
  <r>
    <s v="P071"/>
    <x v="2"/>
    <s v="2024-09-02"/>
    <s v="Carousel"/>
    <s v="Check out our latest carousel on youtube!"/>
    <n v="2551"/>
    <n v="915"/>
    <n v="205"/>
    <n v="30612"/>
    <n v="30360"/>
    <n v="227"/>
    <s v="#TeslaCoInnovation"/>
    <m/>
    <m/>
    <x v="3"/>
    <n v="0.1199202926956749"/>
    <x v="6"/>
    <m/>
    <s v="2024-10-01"/>
    <s v="2024-10-31"/>
    <x v="1"/>
  </r>
  <r>
    <s v="P065"/>
    <x v="0"/>
    <s v="2025-03-28"/>
    <s v="Story"/>
    <s v="Check out our latest story on instagram!"/>
    <n v="1881"/>
    <n v="501"/>
    <n v="99"/>
    <n v="20691"/>
    <n v="19987"/>
    <n v="289"/>
    <s v="#EVRevolution"/>
    <m/>
    <m/>
    <x v="0"/>
    <n v="0.11990720603160794"/>
    <x v="6"/>
    <m/>
    <s v=""/>
    <s v=""/>
    <x v="0"/>
  </r>
  <r>
    <s v="P247"/>
    <x v="3"/>
    <s v="2024-08-27"/>
    <s v="Reel"/>
    <s v="Check out our latest reel on facebook!"/>
    <n v="3960"/>
    <n v="266"/>
    <n v="8"/>
    <n v="35640"/>
    <n v="34850"/>
    <n v="208"/>
    <s v="#FutureOfDriving"/>
    <s v="#EVRevolution"/>
    <s v="#BetterWithTesla"/>
    <x v="0"/>
    <n v="0.11879910213243547"/>
    <x v="6"/>
    <m/>
    <s v=""/>
    <s v=""/>
    <x v="0"/>
  </r>
  <r>
    <s v="P035"/>
    <x v="0"/>
    <s v="2024-11-30"/>
    <s v="Video"/>
    <s v="Check out our latest video on instagram!"/>
    <n v="3775"/>
    <n v="16"/>
    <n v="239"/>
    <n v="33975"/>
    <n v="33310"/>
    <n v="271"/>
    <s v="#FutureOfDriving"/>
    <m/>
    <m/>
    <x v="3"/>
    <n v="0.11861662987490802"/>
    <x v="6"/>
    <m/>
    <s v="2024-10-01"/>
    <s v="2024-10-31"/>
    <x v="1"/>
  </r>
  <r>
    <s v="P117"/>
    <x v="1"/>
    <s v="2024-11-04"/>
    <s v="Image"/>
    <s v="Check out our latest image on twitter!"/>
    <n v="1606"/>
    <n v="451"/>
    <n v="405"/>
    <n v="20878"/>
    <n v="20190"/>
    <n v="219"/>
    <s v="#EVRevolution"/>
    <m/>
    <m/>
    <x v="1"/>
    <n v="0.11792317271769326"/>
    <x v="6"/>
    <m/>
    <s v="2025-03-01"/>
    <s v="2025-03-31"/>
    <x v="1"/>
  </r>
  <r>
    <s v="P251"/>
    <x v="0"/>
    <s v="2025-03-27"/>
    <s v="Carousel"/>
    <s v="Check out our latest carousel on instagram!"/>
    <n v="1377"/>
    <n v="796"/>
    <n v="387"/>
    <n v="22032"/>
    <n v="21869"/>
    <n v="189"/>
    <s v="#FutureOfDriving"/>
    <m/>
    <m/>
    <x v="0"/>
    <n v="0.11619462599854757"/>
    <x v="6"/>
    <m/>
    <s v=""/>
    <s v=""/>
    <x v="0"/>
  </r>
  <r>
    <s v="P011"/>
    <x v="0"/>
    <s v="2025-02-02"/>
    <s v="Story"/>
    <s v="Check out our latest story on instagram!"/>
    <n v="1792"/>
    <n v="614"/>
    <n v="497"/>
    <n v="25088"/>
    <n v="24675"/>
    <n v="65"/>
    <s v="#FutureOfDriving"/>
    <m/>
    <m/>
    <x v="1"/>
    <n v="0.11571269132653061"/>
    <x v="6"/>
    <m/>
    <s v="2025-03-01"/>
    <s v="2025-03-31"/>
    <x v="1"/>
  </r>
  <r>
    <s v="P161"/>
    <x v="1"/>
    <s v="2025-02-19"/>
    <s v="Text"/>
    <s v="Check out our latest text on twitter!"/>
    <n v="4671"/>
    <n v="876"/>
    <n v="366"/>
    <n v="51381"/>
    <n v="50565"/>
    <n v="245"/>
    <s v="#TeslaCoInnovation"/>
    <m/>
    <m/>
    <x v="1"/>
    <n v="0.11508145034156594"/>
    <x v="6"/>
    <m/>
    <s v="2025-03-01"/>
    <s v="2025-03-31"/>
    <x v="1"/>
  </r>
  <r>
    <s v="P155"/>
    <x v="2"/>
    <s v="2024-12-21"/>
    <s v="Image"/>
    <s v="Check out our latest image on youtube!"/>
    <n v="2283"/>
    <n v="210"/>
    <n v="130"/>
    <n v="22830"/>
    <n v="22617"/>
    <n v="143"/>
    <s v="#FutureOfDriving"/>
    <m/>
    <m/>
    <x v="3"/>
    <n v="0.11489268506351293"/>
    <x v="6"/>
    <m/>
    <s v="2024-10-01"/>
    <s v="2024-10-31"/>
    <x v="1"/>
  </r>
  <r>
    <s v="P284"/>
    <x v="1"/>
    <s v="2024-09-17"/>
    <s v="Text"/>
    <s v="Check out our latest text on twitter!"/>
    <n v="571"/>
    <n v="190"/>
    <n v="352"/>
    <n v="9707"/>
    <n v="9418"/>
    <n v="231"/>
    <s v="#TeslaCoInnovation"/>
    <m/>
    <m/>
    <x v="1"/>
    <n v="0.11465952405480581"/>
    <x v="6"/>
    <m/>
    <s v="2025-03-01"/>
    <s v="2025-03-31"/>
    <x v="1"/>
  </r>
  <r>
    <s v="P113"/>
    <x v="1"/>
    <s v="2024-10-02"/>
    <s v="Carousel"/>
    <s v="Check out our latest carousel on twitter!"/>
    <n v="4419"/>
    <n v="236"/>
    <n v="369"/>
    <n v="44190"/>
    <n v="43582"/>
    <n v="10"/>
    <s v="#EVRevolution"/>
    <m/>
    <m/>
    <x v="4"/>
    <n v="0.11369088028965829"/>
    <x v="6"/>
    <m/>
    <s v="2024-06-15"/>
    <s v="2024-07-15"/>
    <x v="1"/>
  </r>
  <r>
    <s v="P158"/>
    <x v="0"/>
    <s v="2024-08-11"/>
    <s v="Story"/>
    <s v="Check out our latest story on instagram!"/>
    <n v="1762"/>
    <n v="405"/>
    <n v="423"/>
    <n v="22906"/>
    <n v="21925"/>
    <n v="25"/>
    <s v="#TeslaCoInnovation"/>
    <m/>
    <m/>
    <x v="4"/>
    <n v="0.11307081114118571"/>
    <x v="6"/>
    <m/>
    <s v="2024-06-15"/>
    <s v="2024-07-15"/>
    <x v="1"/>
  </r>
  <r>
    <s v="P098"/>
    <x v="1"/>
    <s v="2024-06-10"/>
    <s v="Story"/>
    <s v="Check out our latest story on twitter!"/>
    <n v="1575"/>
    <n v="771"/>
    <n v="486"/>
    <n v="25200"/>
    <n v="24826"/>
    <n v="17"/>
    <s v="#FutureOfDriving"/>
    <m/>
    <m/>
    <x v="1"/>
    <n v="0.11238095238095239"/>
    <x v="6"/>
    <m/>
    <s v="2025-03-01"/>
    <s v="2025-03-31"/>
    <x v="1"/>
  </r>
  <r>
    <s v="P227"/>
    <x v="0"/>
    <s v="2024-06-12"/>
    <s v="Text"/>
    <s v="Check out our latest text on instagram!"/>
    <n v="246"/>
    <n v="149"/>
    <n v="130"/>
    <n v="4674"/>
    <n v="4390"/>
    <n v="217"/>
    <s v="#FutureOfDriving"/>
    <m/>
    <m/>
    <x v="2"/>
    <n v="0.11232349165596919"/>
    <x v="6"/>
    <m/>
    <s v="2024-12-25"/>
    <s v="2025-01-10"/>
    <x v="1"/>
  </r>
  <r>
    <s v="P222"/>
    <x v="3"/>
    <s v="2024-10-08"/>
    <s v="Reel"/>
    <s v="Check out our latest reel on facebook!"/>
    <n v="1814"/>
    <n v="653"/>
    <n v="363"/>
    <n v="25396"/>
    <n v="25286"/>
    <n v="39"/>
    <s v="#FutureOfDriving"/>
    <s v="#SmoothLikeNitroTesla"/>
    <m/>
    <x v="4"/>
    <n v="0.11143487163332809"/>
    <x v="6"/>
    <m/>
    <s v="2024-06-15"/>
    <s v="2024-07-15"/>
    <x v="1"/>
  </r>
  <r>
    <s v="P278"/>
    <x v="1"/>
    <s v="2024-11-26"/>
    <s v="Text"/>
    <s v="Check out our latest text on twitter!"/>
    <n v="4516"/>
    <n v="836"/>
    <n v="169"/>
    <n v="49676"/>
    <n v="49257"/>
    <n v="282"/>
    <s v="#EVRevolution"/>
    <m/>
    <m/>
    <x v="1"/>
    <n v="0.11114018842096787"/>
    <x v="6"/>
    <m/>
    <s v="2025-03-01"/>
    <s v="2025-03-31"/>
    <x v="1"/>
  </r>
  <r>
    <s v="P151"/>
    <x v="0"/>
    <s v="2024-07-26"/>
    <s v="Image"/>
    <s v="Check out our latest image on instagram!"/>
    <n v="3559"/>
    <n v="59"/>
    <n v="289"/>
    <n v="35590"/>
    <n v="35105"/>
    <n v="122"/>
    <s v="#EVRevolution"/>
    <m/>
    <m/>
    <x v="4"/>
    <n v="0.10977802753582468"/>
    <x v="6"/>
    <m/>
    <s v="2024-06-15"/>
    <s v="2024-07-15"/>
    <x v="1"/>
  </r>
  <r>
    <s v="P156"/>
    <x v="3"/>
    <s v="2024-10-22"/>
    <s v="Carousel"/>
    <s v="Check out our latest carousel on facebook!"/>
    <n v="3352"/>
    <n v="941"/>
    <n v="482"/>
    <n v="43576"/>
    <n v="43338"/>
    <n v="240"/>
    <s v="#FutureOfDriving"/>
    <m/>
    <m/>
    <x v="3"/>
    <n v="0.1095786671562328"/>
    <x v="6"/>
    <m/>
    <s v="2024-10-01"/>
    <s v="2024-10-31"/>
    <x v="2"/>
  </r>
  <r>
    <s v="P157"/>
    <x v="2"/>
    <s v="2024-07-23"/>
    <s v="Story"/>
    <s v="Check out our latest story on youtube!"/>
    <n v="4775"/>
    <n v="173"/>
    <n v="206"/>
    <n v="47750"/>
    <n v="47544"/>
    <n v="187"/>
    <s v="#FutureOfDriving"/>
    <m/>
    <m/>
    <x v="3"/>
    <n v="0.10793717277486911"/>
    <x v="6"/>
    <m/>
    <s v="2024-10-01"/>
    <s v="2024-10-31"/>
    <x v="1"/>
  </r>
  <r>
    <s v="P206"/>
    <x v="1"/>
    <s v="2024-06-24"/>
    <s v="Text"/>
    <s v="Check out our latest text on twitter!"/>
    <n v="941"/>
    <n v="121"/>
    <n v="458"/>
    <n v="14115"/>
    <n v="13838"/>
    <n v="87"/>
    <s v="#EVRevolution"/>
    <m/>
    <m/>
    <x v="4"/>
    <n v="0.10768685795253277"/>
    <x v="6"/>
    <m/>
    <s v="2024-06-15"/>
    <s v="2024-07-15"/>
    <x v="2"/>
  </r>
  <r>
    <s v="P282"/>
    <x v="0"/>
    <s v="2024-10-03"/>
    <s v="Video"/>
    <s v="Check out our latest video on instagram!"/>
    <n v="1488"/>
    <n v="417"/>
    <n v="168"/>
    <n v="19344"/>
    <n v="18395"/>
    <n v="30"/>
    <s v="#FutureOfDriving"/>
    <m/>
    <m/>
    <x v="2"/>
    <n v="0.1071650124069479"/>
    <x v="6"/>
    <m/>
    <s v="2024-12-25"/>
    <s v="2025-01-10"/>
    <x v="1"/>
  </r>
  <r>
    <s v="P049"/>
    <x v="1"/>
    <s v="2024-06-10"/>
    <s v="Story"/>
    <s v="Check out our latest story on twitter!"/>
    <n v="2164"/>
    <n v="549"/>
    <n v="274"/>
    <n v="28132"/>
    <n v="27361"/>
    <n v="177"/>
    <s v="#TeslaCoInnovation"/>
    <m/>
    <m/>
    <x v="1"/>
    <n v="0.10617801791554102"/>
    <x v="6"/>
    <m/>
    <s v="2025-03-01"/>
    <s v="2025-03-31"/>
    <x v="1"/>
  </r>
  <r>
    <s v="P205"/>
    <x v="1"/>
    <s v="2025-04-24"/>
    <s v="Video"/>
    <s v="Check out our latest video on twitter!"/>
    <n v="3820"/>
    <n v="697"/>
    <n v="268"/>
    <n v="45840"/>
    <n v="45631"/>
    <n v="171"/>
    <s v="#TeslaCoInnovation"/>
    <s v="#SmoothLikeNitroTesla"/>
    <m/>
    <x v="1"/>
    <n v="0.1043848167539267"/>
    <x v="6"/>
    <m/>
    <s v="2025-03-01"/>
    <s v="2025-03-31"/>
    <x v="1"/>
  </r>
  <r>
    <s v="P008"/>
    <x v="2"/>
    <s v="2024-07-13"/>
    <s v="Image"/>
    <s v="Check out our latest image on youtube!"/>
    <n v="3929"/>
    <n v="262"/>
    <n v="278"/>
    <n v="43219"/>
    <n v="42841"/>
    <n v="39"/>
    <s v="#EVRevolution"/>
    <m/>
    <m/>
    <x v="1"/>
    <n v="0.10340359564080613"/>
    <x v="6"/>
    <m/>
    <s v="2025-03-01"/>
    <s v="2025-03-31"/>
    <x v="1"/>
  </r>
  <r>
    <s v="P096"/>
    <x v="1"/>
    <s v="2024-09-10"/>
    <s v="Image"/>
    <s v="Check out our latest image on twitter!"/>
    <n v="1238"/>
    <n v="366"/>
    <n v="444"/>
    <n v="19808"/>
    <n v="19334"/>
    <n v="123"/>
    <s v="#FutureOfDriving"/>
    <m/>
    <m/>
    <x v="0"/>
    <n v="0.10339256865912763"/>
    <x v="6"/>
    <m/>
    <s v=""/>
    <s v=""/>
    <x v="0"/>
  </r>
  <r>
    <s v="P018"/>
    <x v="0"/>
    <s v="2024-08-19"/>
    <s v="Reel"/>
    <s v="Check out our latest reel on instagram!"/>
    <n v="3000"/>
    <n v="382"/>
    <n v="325"/>
    <n v="36000"/>
    <n v="35819"/>
    <n v="19"/>
    <s v="#FutureOfDriving"/>
    <m/>
    <m/>
    <x v="4"/>
    <n v="0.10297222222222223"/>
    <x v="6"/>
    <m/>
    <s v="2024-06-15"/>
    <s v="2024-07-15"/>
    <x v="1"/>
  </r>
  <r>
    <s v="P182"/>
    <x v="3"/>
    <s v="2024-07-31"/>
    <s v="Image"/>
    <s v="Check out our latest image on facebook!"/>
    <n v="4689"/>
    <n v="134"/>
    <n v="403"/>
    <n v="51579"/>
    <n v="50924"/>
    <n v="173"/>
    <s v="#TeslaCoInnovation"/>
    <m/>
    <m/>
    <x v="1"/>
    <n v="0.10132030477519921"/>
    <x v="6"/>
    <m/>
    <s v="2025-03-01"/>
    <s v="2025-03-31"/>
    <x v="1"/>
  </r>
  <r>
    <s v="P266"/>
    <x v="3"/>
    <s v="2024-11-25"/>
    <s v="Story"/>
    <s v="Check out our latest story on facebook!"/>
    <n v="4182"/>
    <n v="640"/>
    <n v="240"/>
    <n v="50184"/>
    <n v="49351"/>
    <n v="10"/>
    <s v="#TeslaCoInnovation"/>
    <m/>
    <m/>
    <x v="2"/>
    <n v="0.10086880280567512"/>
    <x v="6"/>
    <m/>
    <s v="2024-12-25"/>
    <s v="2025-01-10"/>
    <x v="1"/>
  </r>
  <r>
    <s v="P019"/>
    <x v="0"/>
    <s v="2024-06-23"/>
    <s v="Video"/>
    <s v="Check out our latest video on instagram!"/>
    <n v="1071"/>
    <n v="519"/>
    <n v="22"/>
    <n v="16065"/>
    <n v="15865"/>
    <n v="103"/>
    <s v="#TeslaCoInnovation"/>
    <m/>
    <m/>
    <x v="1"/>
    <n v="0.10034235916588857"/>
    <x v="6"/>
    <m/>
    <s v="2025-03-01"/>
    <s v="2025-03-31"/>
    <x v="1"/>
  </r>
  <r>
    <s v="P108"/>
    <x v="1"/>
    <s v="2025-03-25"/>
    <s v="Video"/>
    <s v="Check out our latest video on twitter!"/>
    <n v="4050"/>
    <n v="871"/>
    <n v="347"/>
    <n v="52650"/>
    <n v="51755"/>
    <n v="209"/>
    <s v="#TeslaCoInnovation"/>
    <m/>
    <m/>
    <x v="3"/>
    <n v="0.10005698005698006"/>
    <x v="6"/>
    <m/>
    <s v="2024-10-01"/>
    <s v="2024-10-31"/>
    <x v="1"/>
  </r>
  <r>
    <s v="P126"/>
    <x v="0"/>
    <s v="2025-03-28"/>
    <s v="Carousel"/>
    <s v="Check out our latest carousel on instagram!"/>
    <n v="4158"/>
    <n v="167"/>
    <n v="241"/>
    <n v="45738"/>
    <n v="45183"/>
    <n v="142"/>
    <s v="#FutureOfDriving"/>
    <m/>
    <m/>
    <x v="0"/>
    <n v="9.9829463465827106E-2"/>
    <x v="6"/>
    <m/>
    <s v=""/>
    <s v=""/>
    <x v="0"/>
  </r>
  <r>
    <s v="P103"/>
    <x v="3"/>
    <s v="2024-06-11"/>
    <s v="Image"/>
    <s v="Check out our latest image on facebook!"/>
    <n v="3689"/>
    <n v="48"/>
    <n v="306"/>
    <n v="40579"/>
    <n v="39588"/>
    <n v="212"/>
    <s v="#EVRevolution"/>
    <m/>
    <m/>
    <x v="3"/>
    <n v="9.9632815002833983E-2"/>
    <x v="6"/>
    <m/>
    <s v="2024-10-01"/>
    <s v="2024-10-31"/>
    <x v="1"/>
  </r>
  <r>
    <s v="P191"/>
    <x v="2"/>
    <s v="2024-12-03"/>
    <s v="Story"/>
    <s v="Check out our latest story on youtube!"/>
    <n v="4285"/>
    <n v="886"/>
    <n v="376"/>
    <n v="55705"/>
    <n v="55556"/>
    <n v="51"/>
    <s v="#FutureOfDriving"/>
    <m/>
    <m/>
    <x v="2"/>
    <n v="9.9578134817341346E-2"/>
    <x v="6"/>
    <m/>
    <s v="2024-12-25"/>
    <s v="2025-01-10"/>
    <x v="1"/>
  </r>
  <r>
    <s v="P193"/>
    <x v="1"/>
    <s v="2024-09-11"/>
    <s v="Image"/>
    <s v="Check out our latest image on twitter!"/>
    <n v="4858"/>
    <n v="317"/>
    <n v="129"/>
    <n v="53438"/>
    <n v="52687"/>
    <n v="223"/>
    <s v="#EVRevolution"/>
    <m/>
    <m/>
    <x v="2"/>
    <n v="9.9255211647142488E-2"/>
    <x v="6"/>
    <m/>
    <s v="2024-12-25"/>
    <s v="2025-01-10"/>
    <x v="1"/>
  </r>
  <r>
    <s v="P167"/>
    <x v="0"/>
    <s v="2024-11-28"/>
    <s v="Text"/>
    <s v="Check out our latest text on instagram!"/>
    <n v="4771"/>
    <n v="818"/>
    <n v="56"/>
    <n v="57252"/>
    <n v="56378"/>
    <n v="150"/>
    <s v="#FutureOfDriving"/>
    <m/>
    <m/>
    <x v="0"/>
    <n v="9.859917557465242E-2"/>
    <x v="6"/>
    <m/>
    <s v=""/>
    <s v=""/>
    <x v="0"/>
  </r>
  <r>
    <s v="P044"/>
    <x v="1"/>
    <s v="2025-03-02"/>
    <s v="Image"/>
    <s v="Check out our latest image on twitter!"/>
    <n v="2358"/>
    <n v="784"/>
    <n v="344"/>
    <n v="35370"/>
    <n v="34475"/>
    <n v="216"/>
    <s v="#TeslaCoInnovation"/>
    <m/>
    <m/>
    <x v="0"/>
    <n v="9.8558100084817649E-2"/>
    <x v="6"/>
    <m/>
    <s v=""/>
    <s v=""/>
    <x v="0"/>
  </r>
  <r>
    <s v="P171"/>
    <x v="2"/>
    <s v="2024-12-31"/>
    <s v="Video"/>
    <s v="Check out our latest video on youtube!"/>
    <n v="1018"/>
    <n v="447"/>
    <n v="332"/>
    <n v="18324"/>
    <n v="18164"/>
    <n v="38"/>
    <s v="#FutureOfDriving"/>
    <m/>
    <m/>
    <x v="3"/>
    <n v="9.8068107400130972E-2"/>
    <x v="6"/>
    <m/>
    <s v="2024-10-01"/>
    <s v="2024-10-31"/>
    <x v="1"/>
  </r>
  <r>
    <s v="P273"/>
    <x v="2"/>
    <s v="2024-10-12"/>
    <s v="Story"/>
    <s v="Check out our latest story on youtube!"/>
    <n v="3641"/>
    <n v="226"/>
    <n v="46"/>
    <n v="40051"/>
    <n v="39319"/>
    <n v="296"/>
    <s v="#EVRevolution"/>
    <m/>
    <m/>
    <x v="1"/>
    <n v="9.7700431949264685E-2"/>
    <x v="6"/>
    <m/>
    <s v="2025-03-01"/>
    <s v="2025-03-31"/>
    <x v="1"/>
  </r>
  <r>
    <s v="P243"/>
    <x v="1"/>
    <s v="2025-03-06"/>
    <s v="Image"/>
    <s v="Check out our latest image on twitter!"/>
    <n v="3592"/>
    <n v="911"/>
    <n v="375"/>
    <n v="50288"/>
    <n v="49490"/>
    <n v="32"/>
    <s v="#FutureOfDriving"/>
    <m/>
    <m/>
    <x v="1"/>
    <n v="9.7001272669424113E-2"/>
    <x v="6"/>
    <m/>
    <s v="2025-03-01"/>
    <s v="2025-03-31"/>
    <x v="2"/>
  </r>
  <r>
    <s v="P185"/>
    <x v="0"/>
    <s v="2025-01-11"/>
    <s v="Carousel"/>
    <s v="Check out our latest carousel on instagram!"/>
    <n v="4523"/>
    <n v="61"/>
    <n v="157"/>
    <n v="49753"/>
    <n v="49329"/>
    <n v="71"/>
    <s v="#EVRevolution"/>
    <m/>
    <m/>
    <x v="0"/>
    <n v="9.5290736237010829E-2"/>
    <x v="6"/>
    <m/>
    <s v=""/>
    <s v=""/>
    <x v="0"/>
  </r>
  <r>
    <s v="P081"/>
    <x v="0"/>
    <s v="2024-10-19"/>
    <s v="Story"/>
    <s v="Check out our latest story on instagram!"/>
    <n v="1816"/>
    <n v="29"/>
    <n v="41"/>
    <n v="19976"/>
    <n v="19262"/>
    <n v="283"/>
    <s v="#TeslaCoInnovation"/>
    <m/>
    <m/>
    <x v="2"/>
    <n v="9.4413295955146179E-2"/>
    <x v="6"/>
    <m/>
    <s v="2024-12-25"/>
    <s v="2025-01-10"/>
    <x v="1"/>
  </r>
  <r>
    <s v="P017"/>
    <x v="3"/>
    <s v="2025-05-05"/>
    <s v="Text"/>
    <s v="Check out our latest text on facebook!"/>
    <n v="4441"/>
    <n v="511"/>
    <n v="70"/>
    <n v="53292"/>
    <n v="53082"/>
    <n v="159"/>
    <s v="#EVRevolution"/>
    <m/>
    <m/>
    <x v="1"/>
    <n v="9.4235532537716729E-2"/>
    <x v="6"/>
    <m/>
    <s v="2025-03-01"/>
    <s v="2025-03-31"/>
    <x v="1"/>
  </r>
  <r>
    <s v="P139"/>
    <x v="2"/>
    <s v="2024-10-29"/>
    <s v="Text"/>
    <s v="Check out our latest text on youtube!"/>
    <n v="2746"/>
    <n v="156"/>
    <n v="203"/>
    <n v="32952"/>
    <n v="32147"/>
    <n v="147"/>
    <s v="#EVRevolution"/>
    <m/>
    <m/>
    <x v="4"/>
    <n v="9.422796795338674E-2"/>
    <x v="6"/>
    <m/>
    <s v="2024-06-15"/>
    <s v="2024-07-15"/>
    <x v="1"/>
  </r>
  <r>
    <s v="P069"/>
    <x v="1"/>
    <s v="2025-03-08"/>
    <s v="Text"/>
    <s v="Check out our latest text on twitter!"/>
    <n v="1292"/>
    <n v="626"/>
    <n v="496"/>
    <n v="25840"/>
    <n v="24916"/>
    <n v="149"/>
    <s v="#FutureOfDriving"/>
    <m/>
    <m/>
    <x v="2"/>
    <n v="9.3421052631578946E-2"/>
    <x v="6"/>
    <m/>
    <s v="2024-12-25"/>
    <s v="2025-01-10"/>
    <x v="1"/>
  </r>
  <r>
    <s v="P059"/>
    <x v="0"/>
    <s v="2024-06-22"/>
    <s v="Text"/>
    <s v="Check out our latest text on instagram!"/>
    <n v="2180"/>
    <n v="263"/>
    <n v="387"/>
    <n v="30520"/>
    <n v="30059"/>
    <n v="174"/>
    <s v="#EVRevolution"/>
    <m/>
    <m/>
    <x v="0"/>
    <n v="9.2726081258191345E-2"/>
    <x v="6"/>
    <m/>
    <s v=""/>
    <s v=""/>
    <x v="0"/>
  </r>
  <r>
    <s v="P100"/>
    <x v="2"/>
    <s v="2025-02-10"/>
    <s v="Video"/>
    <s v="Check out our latest video on youtube!"/>
    <n v="1766"/>
    <n v="92"/>
    <n v="424"/>
    <n v="24724"/>
    <n v="24333"/>
    <n v="52"/>
    <s v="#EVRevolution"/>
    <m/>
    <m/>
    <x v="0"/>
    <n v="9.2298980747451867E-2"/>
    <x v="6"/>
    <m/>
    <s v=""/>
    <s v=""/>
    <x v="0"/>
  </r>
  <r>
    <s v="P055"/>
    <x v="3"/>
    <s v="2024-06-17"/>
    <s v="Image"/>
    <s v="Check out our latest image on facebook!"/>
    <n v="1226"/>
    <n v="119"/>
    <n v="7"/>
    <n v="14712"/>
    <n v="14049"/>
    <n v="123"/>
    <s v="#EVRevolution"/>
    <m/>
    <m/>
    <x v="1"/>
    <n v="9.1897770527460579E-2"/>
    <x v="6"/>
    <m/>
    <s v="2025-03-01"/>
    <s v="2025-03-31"/>
    <x v="1"/>
  </r>
  <r>
    <s v="P177"/>
    <x v="0"/>
    <s v="2024-07-10"/>
    <s v="Carousel"/>
    <s v="Check out our latest carousel on instagram!"/>
    <n v="3099"/>
    <n v="694"/>
    <n v="171"/>
    <n v="43386"/>
    <n v="42921"/>
    <n v="52"/>
    <s v="#TeslaCoInnovation"/>
    <m/>
    <m/>
    <x v="2"/>
    <n v="9.1365878393951966E-2"/>
    <x v="6"/>
    <m/>
    <s v="2024-12-25"/>
    <s v="2025-01-10"/>
    <x v="1"/>
  </r>
  <r>
    <s v="P160"/>
    <x v="1"/>
    <s v="2024-08-24"/>
    <s v="Video"/>
    <s v="Check out our latest video on twitter!"/>
    <n v="1082"/>
    <n v="209"/>
    <n v="484"/>
    <n v="19476"/>
    <n v="18654"/>
    <n v="20"/>
    <s v="#TeslaCoInnovation"/>
    <m/>
    <m/>
    <x v="0"/>
    <n v="9.1137810638734856E-2"/>
    <x v="6"/>
    <m/>
    <s v=""/>
    <s v=""/>
    <x v="0"/>
  </r>
  <r>
    <s v="P001"/>
    <x v="1"/>
    <s v="2024-12-23"/>
    <s v="Reel"/>
    <s v="Check out our latest reel on twitter!"/>
    <n v="1461"/>
    <n v="184"/>
    <n v="344"/>
    <n v="21915"/>
    <n v="21675"/>
    <n v="15"/>
    <s v="#FutureOfDriving"/>
    <s v="#AnytimeIsTeslaTime"/>
    <m/>
    <x v="4"/>
    <n v="9.0759753593429152E-2"/>
    <x v="6"/>
    <m/>
    <s v="2024-06-15"/>
    <s v="2024-07-15"/>
    <x v="1"/>
  </r>
  <r>
    <s v="P201"/>
    <x v="1"/>
    <s v="2025-01-15"/>
    <s v="Reel"/>
    <s v="Check out our latest reel on twitter!"/>
    <n v="802"/>
    <n v="262"/>
    <n v="244"/>
    <n v="14436"/>
    <n v="14280"/>
    <n v="49"/>
    <s v="#EVRevolution"/>
    <m/>
    <m/>
    <x v="4"/>
    <n v="9.0606816292601824E-2"/>
    <x v="6"/>
    <m/>
    <s v="2024-06-15"/>
    <s v="2024-07-15"/>
    <x v="1"/>
  </r>
  <r>
    <s v="P180"/>
    <x v="2"/>
    <s v="2024-12-03"/>
    <s v="Text"/>
    <s v="Check out our latest text on youtube!"/>
    <n v="3711"/>
    <n v="352"/>
    <n v="290"/>
    <n v="48243"/>
    <n v="47579"/>
    <n v="11"/>
    <s v="#TeslaCoInnovation"/>
    <m/>
    <m/>
    <x v="4"/>
    <n v="9.023070704558174E-2"/>
    <x v="6"/>
    <m/>
    <s v="2024-06-15"/>
    <s v="2024-07-15"/>
    <x v="1"/>
  </r>
  <r>
    <s v="P026"/>
    <x v="2"/>
    <s v="2025-04-05"/>
    <s v="Reel"/>
    <s v="Check out our latest reel on youtube!"/>
    <n v="3009"/>
    <n v="413"/>
    <n v="358"/>
    <n v="42126"/>
    <n v="41309"/>
    <n v="211"/>
    <s v="#FutureOfDriving"/>
    <m/>
    <m/>
    <x v="3"/>
    <n v="8.9730807577268201E-2"/>
    <x v="6"/>
    <m/>
    <s v="2024-10-01"/>
    <s v="2024-10-31"/>
    <x v="1"/>
  </r>
  <r>
    <s v="P130"/>
    <x v="2"/>
    <s v="2024-09-29"/>
    <s v="Reel"/>
    <s v="Check out our latest reel on youtube!"/>
    <n v="2936"/>
    <n v="439"/>
    <n v="44"/>
    <n v="38168"/>
    <n v="37571"/>
    <n v="22"/>
    <s v="#EVRevolution"/>
    <m/>
    <m/>
    <x v="1"/>
    <n v="8.9577656675749323E-2"/>
    <x v="6"/>
    <m/>
    <s v="2025-03-01"/>
    <s v="2025-03-31"/>
    <x v="1"/>
  </r>
  <r>
    <s v="P079"/>
    <x v="0"/>
    <s v="2024-10-09"/>
    <s v="Carousel"/>
    <s v="Check out our latest carousel on instagram!"/>
    <n v="3068"/>
    <n v="137"/>
    <n v="329"/>
    <n v="39884"/>
    <n v="39404"/>
    <n v="266"/>
    <s v="#EVRevolution"/>
    <m/>
    <m/>
    <x v="3"/>
    <n v="8.860696018453515E-2"/>
    <x v="6"/>
    <m/>
    <s v="2024-10-01"/>
    <s v="2024-10-31"/>
    <x v="2"/>
  </r>
  <r>
    <s v="P072"/>
    <x v="2"/>
    <s v="2025-03-03"/>
    <s v="Reel"/>
    <s v="Check out our latest reel on youtube!"/>
    <n v="296"/>
    <n v="60"/>
    <n v="141"/>
    <n v="5624"/>
    <n v="5239"/>
    <n v="88"/>
    <s v="#EVRevolution"/>
    <m/>
    <m/>
    <x v="3"/>
    <n v="8.837126600284495E-2"/>
    <x v="6"/>
    <m/>
    <s v="2024-10-01"/>
    <s v="2024-10-31"/>
    <x v="1"/>
  </r>
  <r>
    <s v="P009"/>
    <x v="3"/>
    <s v="2024-08-30"/>
    <s v="Text"/>
    <s v="Check out our latest text on facebook!"/>
    <n v="3784"/>
    <n v="808"/>
    <n v="404"/>
    <n v="56760"/>
    <n v="56343"/>
    <n v="131"/>
    <s v="#TeslaCoInnovation"/>
    <m/>
    <m/>
    <x v="3"/>
    <n v="8.8019732205778717E-2"/>
    <x v="6"/>
    <m/>
    <s v="2024-10-01"/>
    <s v="2024-10-31"/>
    <x v="1"/>
  </r>
  <r>
    <s v="P260"/>
    <x v="0"/>
    <s v="2025-02-12"/>
    <s v="Story"/>
    <s v="Check out our latest story on instagram!"/>
    <n v="4332"/>
    <n v="771"/>
    <n v="219"/>
    <n v="60648"/>
    <n v="60397"/>
    <n v="10"/>
    <s v="#TeslaCoInnovation"/>
    <s v="#EVRevolution"/>
    <s v="#BetterWithTesla"/>
    <x v="2"/>
    <n v="8.7752275425405618E-2"/>
    <x v="6"/>
    <m/>
    <s v="2024-12-25"/>
    <s v="2025-01-10"/>
    <x v="1"/>
  </r>
  <r>
    <s v="P249"/>
    <x v="1"/>
    <s v="2024-07-18"/>
    <s v="Image"/>
    <s v="Check out our latest image on twitter!"/>
    <n v="827"/>
    <n v="77"/>
    <n v="402"/>
    <n v="14886"/>
    <n v="14129"/>
    <n v="254"/>
    <s v="#EVRevolution"/>
    <m/>
    <m/>
    <x v="3"/>
    <n v="8.7733440816874911E-2"/>
    <x v="6"/>
    <m/>
    <s v="2024-10-01"/>
    <s v="2024-10-31"/>
    <x v="1"/>
  </r>
  <r>
    <s v="P097"/>
    <x v="0"/>
    <s v="2024-08-13"/>
    <s v="Image"/>
    <s v="Check out our latest image on instagram!"/>
    <n v="4739"/>
    <n v="527"/>
    <n v="135"/>
    <n v="61607"/>
    <n v="61333"/>
    <n v="36"/>
    <s v="#TeslaCoInnovation"/>
    <s v="#AnytimeIsTeslaTime"/>
    <m/>
    <x v="3"/>
    <n v="8.7668609086629767E-2"/>
    <x v="6"/>
    <m/>
    <s v="2024-10-01"/>
    <s v="2024-10-31"/>
    <x v="1"/>
  </r>
  <r>
    <s v="P253"/>
    <x v="1"/>
    <s v="2024-08-03"/>
    <s v="Reel"/>
    <s v="Check out our latest reel on twitter!"/>
    <n v="3791"/>
    <n v="593"/>
    <n v="228"/>
    <n v="53074"/>
    <n v="52613"/>
    <n v="205"/>
    <s v="#EVRevolution"/>
    <m/>
    <m/>
    <x v="0"/>
    <n v="8.6897539284772202E-2"/>
    <x v="6"/>
    <m/>
    <s v=""/>
    <s v=""/>
    <x v="0"/>
  </r>
  <r>
    <s v="P084"/>
    <x v="3"/>
    <s v="2024-12-09"/>
    <s v="Image"/>
    <s v="Check out our latest image on facebook!"/>
    <n v="1841"/>
    <n v="851"/>
    <n v="342"/>
    <n v="34979"/>
    <n v="34154"/>
    <n v="255"/>
    <s v="#FutureOfDriving"/>
    <m/>
    <m/>
    <x v="1"/>
    <n v="8.6737756939878216E-2"/>
    <x v="6"/>
    <m/>
    <s v="2025-03-01"/>
    <s v="2025-03-31"/>
    <x v="1"/>
  </r>
  <r>
    <s v="P162"/>
    <x v="3"/>
    <s v="2025-04-01"/>
    <s v="Story"/>
    <s v="Check out our latest story on facebook!"/>
    <n v="3430"/>
    <n v="566"/>
    <n v="164"/>
    <n v="48020"/>
    <n v="47305"/>
    <n v="120"/>
    <s v="#FutureOfDriving"/>
    <m/>
    <m/>
    <x v="0"/>
    <n v="8.6630570595585168E-2"/>
    <x v="6"/>
    <m/>
    <s v=""/>
    <s v=""/>
    <x v="0"/>
  </r>
  <r>
    <s v="P208"/>
    <x v="2"/>
    <s v="2024-06-24"/>
    <s v="Video"/>
    <s v="Check out our latest video on youtube!"/>
    <n v="2949"/>
    <n v="476"/>
    <n v="403"/>
    <n v="44235"/>
    <n v="43705"/>
    <n v="135"/>
    <s v="#TeslaCoInnovation"/>
    <m/>
    <m/>
    <x v="3"/>
    <n v="8.6537809426924378E-2"/>
    <x v="6"/>
    <m/>
    <s v="2024-10-01"/>
    <s v="2024-10-31"/>
    <x v="1"/>
  </r>
  <r>
    <s v="P240"/>
    <x v="1"/>
    <s v="2024-08-26"/>
    <s v="Carousel"/>
    <s v="Check out our latest carousel on twitter!"/>
    <n v="929"/>
    <n v="192"/>
    <n v="322"/>
    <n v="16722"/>
    <n v="15996"/>
    <n v="145"/>
    <s v="#EVRevolution"/>
    <s v="#TeslaCoInnovation"/>
    <s v="#AnytimeIsTeslaTime"/>
    <x v="2"/>
    <n v="8.6293505561535699E-2"/>
    <x v="6"/>
    <m/>
    <s v="2024-12-25"/>
    <s v="2025-01-10"/>
    <x v="1"/>
  </r>
  <r>
    <s v="P231"/>
    <x v="0"/>
    <s v="2025-05-01"/>
    <s v="Text"/>
    <s v="Check out our latest text on instagram!"/>
    <n v="1430"/>
    <n v="376"/>
    <n v="33"/>
    <n v="21450"/>
    <n v="20509"/>
    <n v="251"/>
    <s v="#FutureOfDriving"/>
    <m/>
    <m/>
    <x v="4"/>
    <n v="8.5734265734265735E-2"/>
    <x v="6"/>
    <m/>
    <s v="2024-06-15"/>
    <s v="2024-07-15"/>
    <x v="1"/>
  </r>
  <r>
    <s v="P106"/>
    <x v="0"/>
    <s v="2025-02-04"/>
    <s v="Image"/>
    <s v="Check out our latest image on instagram!"/>
    <n v="4619"/>
    <n v="821"/>
    <n v="499"/>
    <n v="69285"/>
    <n v="69141"/>
    <n v="298"/>
    <s v="#TeslaCoInnovation"/>
    <m/>
    <m/>
    <x v="1"/>
    <n v="8.5718409468138843E-2"/>
    <x v="6"/>
    <m/>
    <s v="2025-03-01"/>
    <s v="2025-03-31"/>
    <x v="1"/>
  </r>
  <r>
    <s v="P082"/>
    <x v="0"/>
    <s v="2024-07-24"/>
    <s v="Image"/>
    <s v="Check out our latest image on instagram!"/>
    <n v="725"/>
    <n v="88"/>
    <n v="428"/>
    <n v="14500"/>
    <n v="13637"/>
    <n v="200"/>
    <s v="#FutureOfDriving"/>
    <s v="#TeslaCoInnovation"/>
    <s v="#AnytimeIsTeslaTime"/>
    <x v="2"/>
    <n v="8.558620689655172E-2"/>
    <x v="6"/>
    <m/>
    <s v="2024-12-25"/>
    <s v="2025-01-10"/>
    <x v="1"/>
  </r>
  <r>
    <s v="P199"/>
    <x v="2"/>
    <s v="2024-11-30"/>
    <s v="Carousel"/>
    <s v="Check out our latest carousel on youtube!"/>
    <n v="2509"/>
    <n v="324"/>
    <n v="171"/>
    <n v="35126"/>
    <n v="34685"/>
    <n v="277"/>
    <s v="#TeslaCoInnovation"/>
    <m/>
    <m/>
    <x v="3"/>
    <n v="8.5520696919660646E-2"/>
    <x v="6"/>
    <m/>
    <s v="2024-10-01"/>
    <s v="2024-10-31"/>
    <x v="1"/>
  </r>
  <r>
    <s v="P188"/>
    <x v="2"/>
    <s v="2024-06-06"/>
    <s v="Reel"/>
    <s v="Check out our latest reel on youtube!"/>
    <n v="2728"/>
    <n v="533"/>
    <n v="215"/>
    <n v="40920"/>
    <n v="40816"/>
    <n v="137"/>
    <s v="#FutureOfDriving"/>
    <m/>
    <m/>
    <x v="3"/>
    <n v="8.4946236559139784E-2"/>
    <x v="6"/>
    <m/>
    <s v="2024-10-01"/>
    <s v="2024-10-31"/>
    <x v="1"/>
  </r>
  <r>
    <s v="P186"/>
    <x v="3"/>
    <s v="2024-08-24"/>
    <s v="Carousel"/>
    <s v="Check out our latest carousel on facebook!"/>
    <n v="4292"/>
    <n v="51"/>
    <n v="392"/>
    <n v="55796"/>
    <n v="54826"/>
    <n v="264"/>
    <s v="#EVRevolution"/>
    <m/>
    <m/>
    <x v="2"/>
    <n v="8.4862714173059003E-2"/>
    <x v="6"/>
    <m/>
    <s v="2024-12-25"/>
    <s v="2025-01-10"/>
    <x v="1"/>
  </r>
  <r>
    <s v="P194"/>
    <x v="2"/>
    <s v="2024-10-02"/>
    <s v="Story"/>
    <s v="Check out our latest story on youtube!"/>
    <n v="4350"/>
    <n v="771"/>
    <n v="7"/>
    <n v="60900"/>
    <n v="60592"/>
    <n v="195"/>
    <s v="#EVRevolution"/>
    <m/>
    <m/>
    <x v="4"/>
    <n v="8.4203612479474554E-2"/>
    <x v="6"/>
    <m/>
    <s v="2024-06-15"/>
    <s v="2024-07-15"/>
    <x v="1"/>
  </r>
  <r>
    <s v="P268"/>
    <x v="0"/>
    <s v="2025-04-13"/>
    <s v="Reel"/>
    <s v="Check out our latest reel on instagram!"/>
    <n v="4579"/>
    <n v="125"/>
    <n v="300"/>
    <n v="59527"/>
    <n v="59400"/>
    <n v="269"/>
    <s v="#EVRevolution"/>
    <m/>
    <m/>
    <x v="4"/>
    <n v="8.4062694239588759E-2"/>
    <x v="6"/>
    <m/>
    <s v="2024-06-15"/>
    <s v="2024-07-15"/>
    <x v="1"/>
  </r>
  <r>
    <s v="P290"/>
    <x v="0"/>
    <s v="2024-12-20"/>
    <s v="Carousel"/>
    <s v="Check out our latest carousel on instagram!"/>
    <n v="2107"/>
    <n v="550"/>
    <n v="349"/>
    <n v="35819"/>
    <n v="35340"/>
    <n v="191"/>
    <s v="#EVRevolution"/>
    <m/>
    <m/>
    <x v="1"/>
    <n v="8.3921940869371006E-2"/>
    <x v="6"/>
    <m/>
    <s v="2025-03-01"/>
    <s v="2025-03-31"/>
    <x v="1"/>
  </r>
  <r>
    <s v="P187"/>
    <x v="1"/>
    <s v="2024-12-22"/>
    <s v="Reel"/>
    <s v="Check out our latest reel on twitter!"/>
    <n v="1644"/>
    <n v="546"/>
    <n v="150"/>
    <n v="27948"/>
    <n v="27184"/>
    <n v="300"/>
    <s v="#EVRevolution"/>
    <m/>
    <m/>
    <x v="2"/>
    <n v="8.3726921425504502E-2"/>
    <x v="6"/>
    <m/>
    <s v="2024-12-25"/>
    <s v="2025-01-10"/>
    <x v="1"/>
  </r>
  <r>
    <s v="P300"/>
    <x v="1"/>
    <s v="2024-08-31"/>
    <s v="Carousel"/>
    <s v="Check out our latest carousel on twitter!"/>
    <n v="4494"/>
    <n v="717"/>
    <n v="45"/>
    <n v="62916"/>
    <n v="62688"/>
    <n v="191"/>
    <s v="#TeslaCoInnovation"/>
    <s v="#EVRevolution"/>
    <s v="#BetterWithTesla"/>
    <x v="4"/>
    <n v="8.3539958039290485E-2"/>
    <x v="6"/>
    <m/>
    <s v="2024-06-15"/>
    <s v="2024-07-15"/>
    <x v="1"/>
  </r>
  <r>
    <s v="P280"/>
    <x v="2"/>
    <s v="2024-10-21"/>
    <s v="Video"/>
    <s v="Check out our latest video on youtube!"/>
    <n v="4275"/>
    <n v="680"/>
    <n v="385"/>
    <n v="64125"/>
    <n v="63650"/>
    <n v="104"/>
    <s v="#EVRevolution"/>
    <s v="#TeslaCoInnovation"/>
    <s v="#AnytimeIsTeslaTime"/>
    <x v="1"/>
    <n v="8.3274853801169585E-2"/>
    <x v="6"/>
    <m/>
    <s v="2025-03-01"/>
    <s v="2025-03-31"/>
    <x v="1"/>
  </r>
  <r>
    <s v="P261"/>
    <x v="0"/>
    <s v="2024-10-27"/>
    <s v="Image"/>
    <s v="Check out our latest image on instagram!"/>
    <n v="4853"/>
    <n v="837"/>
    <n v="340"/>
    <n v="72795"/>
    <n v="72237"/>
    <n v="170"/>
    <s v="#EVRevolution"/>
    <m/>
    <m/>
    <x v="4"/>
    <n v="8.2835359571399134E-2"/>
    <x v="6"/>
    <m/>
    <s v="2024-06-15"/>
    <s v="2024-07-15"/>
    <x v="1"/>
  </r>
  <r>
    <s v="P209"/>
    <x v="1"/>
    <s v="2025-03-19"/>
    <s v="Video"/>
    <s v="Check out our latest video on twitter!"/>
    <n v="3160"/>
    <n v="204"/>
    <n v="297"/>
    <n v="44240"/>
    <n v="43666"/>
    <n v="49"/>
    <s v="#FutureOfDriving"/>
    <s v="#AnytimeIsTeslaTime"/>
    <m/>
    <x v="1"/>
    <n v="8.2753164556962022E-2"/>
    <x v="6"/>
    <m/>
    <s v="2025-03-01"/>
    <s v="2025-03-31"/>
    <x v="2"/>
  </r>
  <r>
    <s v="P213"/>
    <x v="3"/>
    <s v="2025-05-01"/>
    <s v="Carousel"/>
    <s v="Check out our latest carousel on facebook!"/>
    <n v="2696"/>
    <n v="628"/>
    <n v="443"/>
    <n v="45832"/>
    <n v="45632"/>
    <n v="248"/>
    <s v="#EVRevolution"/>
    <m/>
    <m/>
    <x v="1"/>
    <n v="8.21914819340199E-2"/>
    <x v="6"/>
    <m/>
    <s v="2025-03-01"/>
    <s v="2025-03-31"/>
    <x v="1"/>
  </r>
  <r>
    <s v="P202"/>
    <x v="3"/>
    <s v="2024-06-02"/>
    <s v="Image"/>
    <s v="Check out our latest image on facebook!"/>
    <n v="1871"/>
    <n v="252"/>
    <n v="335"/>
    <n v="29936"/>
    <n v="29576"/>
    <n v="288"/>
    <s v="#EVRevolution"/>
    <m/>
    <m/>
    <x v="2"/>
    <n v="8.2108498129342594E-2"/>
    <x v="6"/>
    <m/>
    <s v="2024-12-25"/>
    <s v="2025-01-10"/>
    <x v="1"/>
  </r>
  <r>
    <s v="P078"/>
    <x v="1"/>
    <s v="2024-06-17"/>
    <s v="Image"/>
    <s v="Check out our latest image on twitter!"/>
    <n v="954"/>
    <n v="324"/>
    <n v="288"/>
    <n v="19080"/>
    <n v="18859"/>
    <n v="21"/>
    <s v="#FutureOfDriving"/>
    <m/>
    <m/>
    <x v="1"/>
    <n v="8.2075471698113203E-2"/>
    <x v="6"/>
    <m/>
    <s v="2025-03-01"/>
    <s v="2025-03-31"/>
    <x v="1"/>
  </r>
  <r>
    <s v="P064"/>
    <x v="3"/>
    <s v="2024-08-17"/>
    <s v="Image"/>
    <s v="Check out our latest image on facebook!"/>
    <n v="2878"/>
    <n v="248"/>
    <n v="416"/>
    <n v="43170"/>
    <n v="42667"/>
    <n v="75"/>
    <s v="#FutureOfDriving"/>
    <m/>
    <m/>
    <x v="2"/>
    <n v="8.2047718322909427E-2"/>
    <x v="6"/>
    <m/>
    <s v="2024-12-25"/>
    <s v="2025-01-10"/>
    <x v="1"/>
  </r>
  <r>
    <s v="P228"/>
    <x v="0"/>
    <s v="2024-07-01"/>
    <s v="Story"/>
    <s v="Check out our latest story on instagram!"/>
    <n v="4808"/>
    <n v="772"/>
    <n v="320"/>
    <n v="72120"/>
    <n v="71696"/>
    <n v="195"/>
    <s v="#EVRevolution"/>
    <m/>
    <m/>
    <x v="4"/>
    <n v="8.1808097615085965E-2"/>
    <x v="6"/>
    <m/>
    <s v="2024-06-15"/>
    <s v="2024-07-15"/>
    <x v="2"/>
  </r>
  <r>
    <s v="P076"/>
    <x v="1"/>
    <s v="2024-11-07"/>
    <s v="Story"/>
    <s v="Check out our latest story on twitter!"/>
    <n v="1121"/>
    <n v="135"/>
    <n v="18"/>
    <n v="15694"/>
    <n v="14957"/>
    <n v="99"/>
    <s v="#TeslaCoInnovation"/>
    <m/>
    <m/>
    <x v="1"/>
    <n v="8.1177520071364848E-2"/>
    <x v="6"/>
    <m/>
    <s v="2025-03-01"/>
    <s v="2025-03-31"/>
    <x v="1"/>
  </r>
  <r>
    <s v="P057"/>
    <x v="1"/>
    <s v="2024-10-21"/>
    <s v="Video"/>
    <s v="Check out our latest video on twitter!"/>
    <n v="2825"/>
    <n v="535"/>
    <n v="295"/>
    <n v="45200"/>
    <n v="44739"/>
    <n v="169"/>
    <s v="#TeslaCoInnovation"/>
    <m/>
    <m/>
    <x v="4"/>
    <n v="8.0862831858407078E-2"/>
    <x v="6"/>
    <m/>
    <s v="2024-06-15"/>
    <s v="2024-07-15"/>
    <x v="1"/>
  </r>
  <r>
    <s v="P122"/>
    <x v="0"/>
    <s v="2024-10-02"/>
    <s v="Text"/>
    <s v="Check out our latest text on instagram!"/>
    <n v="3432"/>
    <n v="869"/>
    <n v="123"/>
    <n v="54912"/>
    <n v="53916"/>
    <n v="264"/>
    <s v="#EVRevolution"/>
    <m/>
    <m/>
    <x v="3"/>
    <n v="8.0565268065268064E-2"/>
    <x v="6"/>
    <m/>
    <s v="2024-10-01"/>
    <s v="2024-10-31"/>
    <x v="2"/>
  </r>
  <r>
    <s v="P022"/>
    <x v="3"/>
    <s v="2025-02-27"/>
    <s v="Text"/>
    <s v="Check out our latest text on facebook!"/>
    <n v="1570"/>
    <n v="187"/>
    <n v="260"/>
    <n v="25120"/>
    <n v="24613"/>
    <n v="133"/>
    <s v="#TeslaCoInnovation"/>
    <m/>
    <m/>
    <x v="1"/>
    <n v="8.0294585987261149E-2"/>
    <x v="6"/>
    <m/>
    <s v="2025-03-01"/>
    <s v="2025-03-31"/>
    <x v="1"/>
  </r>
  <r>
    <s v="P118"/>
    <x v="3"/>
    <s v="2024-11-04"/>
    <s v="Image"/>
    <s v="Check out our latest image on facebook!"/>
    <n v="4551"/>
    <n v="714"/>
    <n v="207"/>
    <n v="68265"/>
    <n v="67754"/>
    <n v="57"/>
    <s v="#FutureOfDriving"/>
    <m/>
    <m/>
    <x v="2"/>
    <n v="8.0158206987475278E-2"/>
    <x v="6"/>
    <m/>
    <s v="2024-12-25"/>
    <s v="2025-01-10"/>
    <x v="1"/>
  </r>
  <r>
    <s v="P257"/>
    <x v="3"/>
    <s v="2025-04-06"/>
    <s v="Image"/>
    <s v="Check out our latest image on facebook!"/>
    <n v="3090"/>
    <n v="697"/>
    <n v="164"/>
    <n v="49440"/>
    <n v="48524"/>
    <n v="25"/>
    <s v="#EVRevolution"/>
    <s v="#EVRevolution"/>
    <s v="#BetterWithTesla"/>
    <x v="3"/>
    <n v="7.9915048543689318E-2"/>
    <x v="6"/>
    <m/>
    <s v="2024-10-01"/>
    <s v="2024-10-31"/>
    <x v="1"/>
  </r>
  <r>
    <s v="P091"/>
    <x v="3"/>
    <s v="2025-03-24"/>
    <s v="Image"/>
    <s v="Check out our latest image on facebook!"/>
    <n v="1263"/>
    <n v="397"/>
    <n v="357"/>
    <n v="25260"/>
    <n v="24615"/>
    <n v="137"/>
    <s v="#EVRevolution"/>
    <m/>
    <m/>
    <x v="1"/>
    <n v="7.984956452889945E-2"/>
    <x v="6"/>
    <m/>
    <s v="2025-03-01"/>
    <s v="2025-03-31"/>
    <x v="2"/>
  </r>
  <r>
    <s v="P274"/>
    <x v="1"/>
    <s v="2025-01-01"/>
    <s v="Carousel"/>
    <s v="Check out our latest carousel on twitter!"/>
    <n v="3535"/>
    <n v="494"/>
    <n v="152"/>
    <n v="53025"/>
    <n v="52791"/>
    <n v="44"/>
    <s v="#TeslaCoInnovation"/>
    <m/>
    <m/>
    <x v="1"/>
    <n v="7.8849599245638849E-2"/>
    <x v="6"/>
    <m/>
    <s v="2025-03-01"/>
    <s v="2025-03-31"/>
    <x v="1"/>
  </r>
  <r>
    <s v="P051"/>
    <x v="3"/>
    <s v="2024-06-13"/>
    <s v="Carousel"/>
    <s v="Check out our latest carousel on facebook!"/>
    <n v="2200"/>
    <n v="504"/>
    <n v="239"/>
    <n v="37400"/>
    <n v="36938"/>
    <n v="225"/>
    <s v="#FutureOfDriving"/>
    <m/>
    <m/>
    <x v="3"/>
    <n v="7.8689839572192513E-2"/>
    <x v="6"/>
    <m/>
    <s v="2024-10-01"/>
    <s v="2024-10-31"/>
    <x v="1"/>
  </r>
  <r>
    <s v="P080"/>
    <x v="0"/>
    <s v="2024-06-13"/>
    <s v="Story"/>
    <s v="Check out our latest story on instagram!"/>
    <n v="2103"/>
    <n v="892"/>
    <n v="103"/>
    <n v="39957"/>
    <n v="39466"/>
    <n v="28"/>
    <s v="#FutureOfDriving"/>
    <m/>
    <m/>
    <x v="0"/>
    <n v="7.7533348349475686E-2"/>
    <x v="6"/>
    <m/>
    <s v=""/>
    <s v=""/>
    <x v="0"/>
  </r>
  <r>
    <s v="P230"/>
    <x v="3"/>
    <s v="2024-07-15"/>
    <s v="Reel"/>
    <s v="Check out our latest reel on facebook!"/>
    <n v="3663"/>
    <n v="17"/>
    <n v="295"/>
    <n v="51282"/>
    <n v="50567"/>
    <n v="84"/>
    <s v="#EVRevolution"/>
    <m/>
    <m/>
    <x v="2"/>
    <n v="7.7512577512577507E-2"/>
    <x v="6"/>
    <m/>
    <s v="2024-12-25"/>
    <s v="2025-01-10"/>
    <x v="1"/>
  </r>
  <r>
    <s v="P149"/>
    <x v="1"/>
    <s v="2024-06-16"/>
    <s v="Video"/>
    <s v="Check out our latest video on twitter!"/>
    <n v="1702"/>
    <n v="750"/>
    <n v="179"/>
    <n v="34040"/>
    <n v="33174"/>
    <n v="76"/>
    <s v="#EVRevolution"/>
    <m/>
    <m/>
    <x v="4"/>
    <n v="7.7291421856639245E-2"/>
    <x v="6"/>
    <m/>
    <s v="2024-06-15"/>
    <s v="2024-07-15"/>
    <x v="2"/>
  </r>
  <r>
    <s v="P021"/>
    <x v="0"/>
    <s v="2025-01-04"/>
    <s v="Reel"/>
    <s v="Check out our latest reel on instagram!"/>
    <n v="4838"/>
    <n v="640"/>
    <n v="128"/>
    <n v="72570"/>
    <n v="72396"/>
    <n v="83"/>
    <s v="#FutureOfDriving"/>
    <m/>
    <m/>
    <x v="1"/>
    <n v="7.7249552156538517E-2"/>
    <x v="6"/>
    <m/>
    <s v="2025-03-01"/>
    <s v="2025-03-31"/>
    <x v="1"/>
  </r>
  <r>
    <s v="P023"/>
    <x v="3"/>
    <s v="2024-11-06"/>
    <s v="Video"/>
    <s v="Check out our latest video on facebook!"/>
    <n v="1606"/>
    <n v="547"/>
    <n v="316"/>
    <n v="32120"/>
    <n v="31736"/>
    <n v="225"/>
    <s v="#TeslaCoInnovation"/>
    <s v="#AnytimeIsTeslaTime"/>
    <m/>
    <x v="3"/>
    <n v="7.6867995018679955E-2"/>
    <x v="6"/>
    <m/>
    <s v="2024-10-01"/>
    <s v="2024-10-31"/>
    <x v="1"/>
  </r>
  <r>
    <s v="P036"/>
    <x v="0"/>
    <s v="2025-04-19"/>
    <s v="Story"/>
    <s v="Check out our latest story on instagram!"/>
    <n v="4518"/>
    <n v="285"/>
    <n v="383"/>
    <n v="67770"/>
    <n v="67621"/>
    <n v="31"/>
    <s v="#EVRevolution"/>
    <m/>
    <m/>
    <x v="3"/>
    <n v="7.6523535487678915E-2"/>
    <x v="6"/>
    <m/>
    <s v="2024-10-01"/>
    <s v="2024-10-31"/>
    <x v="1"/>
  </r>
  <r>
    <s v="P002"/>
    <x v="1"/>
    <s v="2025-04-03"/>
    <s v="Text"/>
    <s v="Check out our latest text on twitter!"/>
    <n v="4054"/>
    <n v="389"/>
    <n v="493"/>
    <n v="64864"/>
    <n v="64383"/>
    <n v="117"/>
    <s v="#TeslaCoInnovation"/>
    <s v="#BetterWithTesla"/>
    <m/>
    <x v="3"/>
    <n v="7.6097681302417369E-2"/>
    <x v="6"/>
    <m/>
    <s v="2024-10-01"/>
    <s v="2024-10-31"/>
    <x v="1"/>
  </r>
  <r>
    <s v="P234"/>
    <x v="3"/>
    <s v="2024-06-01"/>
    <s v="Text"/>
    <s v="Check out our latest text on facebook!"/>
    <n v="1272"/>
    <n v="465"/>
    <n v="99"/>
    <n v="24168"/>
    <n v="23719"/>
    <n v="42"/>
    <s v="#TeslaCoInnovation"/>
    <m/>
    <m/>
    <x v="0"/>
    <n v="7.5968222442899705E-2"/>
    <x v="6"/>
    <m/>
    <s v=""/>
    <s v=""/>
    <x v="0"/>
  </r>
  <r>
    <s v="P013"/>
    <x v="2"/>
    <s v="2024-11-18"/>
    <s v="Carousel"/>
    <s v="Check out our latest carousel on youtube!"/>
    <n v="1171"/>
    <n v="286"/>
    <n v="231"/>
    <n v="22249"/>
    <n v="21282"/>
    <n v="114"/>
    <s v="#EVRevolution"/>
    <m/>
    <m/>
    <x v="4"/>
    <n v="7.5868578363072495E-2"/>
    <x v="6"/>
    <m/>
    <s v="2024-06-15"/>
    <s v="2024-07-15"/>
    <x v="1"/>
  </r>
  <r>
    <s v="P016"/>
    <x v="3"/>
    <s v="2024-08-26"/>
    <s v="Text"/>
    <s v="Check out our latest text on facebook!"/>
    <n v="3452"/>
    <n v="377"/>
    <n v="360"/>
    <n v="55232"/>
    <n v="55075"/>
    <n v="87"/>
    <s v="#FutureOfDriving"/>
    <m/>
    <m/>
    <x v="2"/>
    <n v="7.5843713789107758E-2"/>
    <x v="6"/>
    <m/>
    <s v="2024-12-25"/>
    <s v="2025-01-10"/>
    <x v="1"/>
  </r>
  <r>
    <s v="P179"/>
    <x v="3"/>
    <s v="2024-07-15"/>
    <s v="Carousel"/>
    <s v="Check out our latest carousel on facebook!"/>
    <n v="3796"/>
    <n v="667"/>
    <n v="395"/>
    <n v="64532"/>
    <n v="63550"/>
    <n v="292"/>
    <s v="#TeslaCoInnovation"/>
    <m/>
    <m/>
    <x v="0"/>
    <n v="7.5280481001673588E-2"/>
    <x v="6"/>
    <m/>
    <s v=""/>
    <s v=""/>
    <x v="0"/>
  </r>
  <r>
    <s v="P045"/>
    <x v="3"/>
    <s v="2024-11-01"/>
    <s v="Video"/>
    <s v="Check out our latest video on facebook!"/>
    <n v="3371"/>
    <n v="106"/>
    <n v="327"/>
    <n v="50565"/>
    <n v="49816"/>
    <n v="176"/>
    <s v="#FutureOfDriving"/>
    <m/>
    <m/>
    <x v="4"/>
    <n v="7.5229902106199939E-2"/>
    <x v="6"/>
    <m/>
    <s v="2024-06-15"/>
    <s v="2024-07-15"/>
    <x v="1"/>
  </r>
  <r>
    <s v="P168"/>
    <x v="3"/>
    <s v="2024-11-12"/>
    <s v="Text"/>
    <s v="Check out our latest text on facebook!"/>
    <n v="2418"/>
    <n v="754"/>
    <n v="54"/>
    <n v="43524"/>
    <n v="42743"/>
    <n v="182"/>
    <s v="#EVRevolution"/>
    <m/>
    <m/>
    <x v="4"/>
    <n v="7.412002573292896E-2"/>
    <x v="6"/>
    <m/>
    <s v="2024-06-15"/>
    <s v="2024-07-15"/>
    <x v="1"/>
  </r>
  <r>
    <s v="P111"/>
    <x v="2"/>
    <s v="2024-11-23"/>
    <s v="Image"/>
    <s v="Check out our latest image on youtube!"/>
    <n v="2719"/>
    <n v="17"/>
    <n v="285"/>
    <n v="40785"/>
    <n v="40281"/>
    <n v="40"/>
    <s v="#TeslaCoInnovation"/>
    <m/>
    <m/>
    <x v="3"/>
    <n v="7.4071349760941527E-2"/>
    <x v="6"/>
    <m/>
    <s v="2024-10-01"/>
    <s v="2024-10-31"/>
    <x v="1"/>
  </r>
  <r>
    <s v="P101"/>
    <x v="2"/>
    <s v="2024-10-18"/>
    <s v="Video"/>
    <s v="Check out our latest video on youtube!"/>
    <n v="4450"/>
    <n v="983"/>
    <n v="143"/>
    <n v="75650"/>
    <n v="75008"/>
    <n v="12"/>
    <s v="#FutureOfDriving"/>
    <m/>
    <m/>
    <x v="2"/>
    <n v="7.3707865168539333E-2"/>
    <x v="6"/>
    <m/>
    <s v="2024-12-25"/>
    <s v="2025-01-10"/>
    <x v="1"/>
  </r>
  <r>
    <s v="P048"/>
    <x v="1"/>
    <s v="2025-03-11"/>
    <s v="Story"/>
    <s v="Check out our latest story on twitter!"/>
    <n v="1950"/>
    <n v="295"/>
    <n v="478"/>
    <n v="37050"/>
    <n v="36272"/>
    <n v="119"/>
    <s v="#TeslaCoInnovation"/>
    <m/>
    <m/>
    <x v="0"/>
    <n v="7.349527665317139E-2"/>
    <x v="6"/>
    <m/>
    <s v=""/>
    <s v=""/>
    <x v="0"/>
  </r>
  <r>
    <s v="P250"/>
    <x v="3"/>
    <s v="2024-06-22"/>
    <s v="Reel"/>
    <s v="Check out our latest reel on facebook!"/>
    <n v="3813"/>
    <n v="935"/>
    <n v="274"/>
    <n v="68634"/>
    <n v="68488"/>
    <n v="251"/>
    <s v="#FutureOfDriving"/>
    <m/>
    <m/>
    <x v="0"/>
    <n v="7.3170731707317069E-2"/>
    <x v="6"/>
    <m/>
    <s v=""/>
    <s v=""/>
    <x v="0"/>
  </r>
  <r>
    <s v="P289"/>
    <x v="3"/>
    <s v="2024-11-28"/>
    <s v="Carousel"/>
    <s v="Check out our latest carousel on facebook!"/>
    <n v="2751"/>
    <n v="33"/>
    <n v="430"/>
    <n v="44016"/>
    <n v="43415"/>
    <n v="129"/>
    <s v="#FutureOfDriving"/>
    <m/>
    <m/>
    <x v="0"/>
    <n v="7.3018902217375503E-2"/>
    <x v="6"/>
    <m/>
    <s v=""/>
    <s v=""/>
    <x v="0"/>
  </r>
  <r>
    <s v="P233"/>
    <x v="3"/>
    <s v="2025-03-08"/>
    <s v="Image"/>
    <s v="Check out our latest image on facebook!"/>
    <n v="2382"/>
    <n v="265"/>
    <n v="134"/>
    <n v="38112"/>
    <n v="37437"/>
    <n v="249"/>
    <s v="#FutureOfDriving"/>
    <m/>
    <m/>
    <x v="1"/>
    <n v="7.2969143576826198E-2"/>
    <x v="6"/>
    <m/>
    <s v="2025-03-01"/>
    <s v="2025-03-31"/>
    <x v="2"/>
  </r>
  <r>
    <s v="P172"/>
    <x v="3"/>
    <s v="2024-08-14"/>
    <s v="Carousel"/>
    <s v="Check out our latest carousel on facebook!"/>
    <n v="3073"/>
    <n v="553"/>
    <n v="174"/>
    <n v="52241"/>
    <n v="51605"/>
    <n v="246"/>
    <s v="#EVRevolution"/>
    <m/>
    <m/>
    <x v="2"/>
    <n v="7.2739802071170159E-2"/>
    <x v="6"/>
    <m/>
    <s v="2024-12-25"/>
    <s v="2025-01-10"/>
    <x v="1"/>
  </r>
  <r>
    <s v="P238"/>
    <x v="1"/>
    <s v="2024-07-16"/>
    <s v="Text"/>
    <s v="Check out our latest text on twitter!"/>
    <n v="4725"/>
    <n v="400"/>
    <n v="362"/>
    <n v="75600"/>
    <n v="74927"/>
    <n v="43"/>
    <s v="#FutureOfDriving"/>
    <m/>
    <m/>
    <x v="1"/>
    <n v="7.2579365079365077E-2"/>
    <x v="6"/>
    <m/>
    <s v="2025-03-01"/>
    <s v="2025-03-31"/>
    <x v="1"/>
  </r>
  <r>
    <s v="P189"/>
    <x v="3"/>
    <s v="2025-03-24"/>
    <s v="Reel"/>
    <s v="Check out our latest reel on facebook!"/>
    <n v="3360"/>
    <n v="525"/>
    <n v="500"/>
    <n v="60480"/>
    <n v="59610"/>
    <n v="192"/>
    <s v="#TeslaCoInnovation"/>
    <m/>
    <m/>
    <x v="4"/>
    <n v="7.2503306878306875E-2"/>
    <x v="6"/>
    <m/>
    <s v="2024-06-15"/>
    <s v="2024-07-15"/>
    <x v="1"/>
  </r>
  <r>
    <s v="P039"/>
    <x v="3"/>
    <s v="2024-11-25"/>
    <s v="Image"/>
    <s v="Check out our latest image on facebook!"/>
    <n v="3564"/>
    <n v="629"/>
    <n v="177"/>
    <n v="60588"/>
    <n v="59627"/>
    <n v="92"/>
    <s v="#TeslaCoInnovation"/>
    <m/>
    <m/>
    <x v="0"/>
    <n v="7.2126493695121141E-2"/>
    <x v="6"/>
    <m/>
    <s v=""/>
    <s v=""/>
    <x v="0"/>
  </r>
  <r>
    <s v="P215"/>
    <x v="3"/>
    <s v="2025-05-06"/>
    <s v="Image"/>
    <s v="Check out our latest image on facebook!"/>
    <n v="4872"/>
    <n v="925"/>
    <n v="176"/>
    <n v="82824"/>
    <n v="82543"/>
    <n v="89"/>
    <s v="#EVRevolution"/>
    <m/>
    <m/>
    <x v="3"/>
    <n v="7.2116777745580993E-2"/>
    <x v="6"/>
    <m/>
    <s v="2024-10-01"/>
    <s v="2024-10-31"/>
    <x v="1"/>
  </r>
  <r>
    <s v="P024"/>
    <x v="3"/>
    <s v="2025-01-23"/>
    <s v="Video"/>
    <s v="Check out our latest video on facebook!"/>
    <n v="3961"/>
    <n v="761"/>
    <n v="131"/>
    <n v="67337"/>
    <n v="66615"/>
    <n v="161"/>
    <s v="#FutureOfDriving"/>
    <m/>
    <m/>
    <x v="2"/>
    <n v="7.2070332803659209E-2"/>
    <x v="6"/>
    <m/>
    <s v="2024-12-25"/>
    <s v="2025-01-10"/>
    <x v="1"/>
  </r>
  <r>
    <s v="P099"/>
    <x v="2"/>
    <s v="2024-07-02"/>
    <s v="Carousel"/>
    <s v="Check out our latest carousel on youtube!"/>
    <n v="4171"/>
    <n v="548"/>
    <n v="86"/>
    <n v="66736"/>
    <n v="66634"/>
    <n v="173"/>
    <s v="#FutureOfDriving"/>
    <m/>
    <m/>
    <x v="2"/>
    <n v="7.2000119875329657E-2"/>
    <x v="6"/>
    <m/>
    <s v="2024-12-25"/>
    <s v="2025-01-10"/>
    <x v="1"/>
  </r>
  <r>
    <s v="P010"/>
    <x v="3"/>
    <s v="2025-03-11"/>
    <s v="Image"/>
    <s v="Check out our latest image on facebook!"/>
    <n v="4241"/>
    <n v="902"/>
    <n v="47"/>
    <n v="72097"/>
    <n v="71598"/>
    <n v="167"/>
    <s v="#TeslaCoInnovation"/>
    <m/>
    <m/>
    <x v="3"/>
    <n v="7.198635172059864E-2"/>
    <x v="6"/>
    <m/>
    <s v="2024-10-01"/>
    <s v="2024-10-31"/>
    <x v="1"/>
  </r>
  <r>
    <s v="P291"/>
    <x v="3"/>
    <s v="2024-11-06"/>
    <s v="Video"/>
    <s v="Check out our latest video on facebook!"/>
    <n v="4663"/>
    <n v="145"/>
    <n v="225"/>
    <n v="69945"/>
    <n v="69596"/>
    <n v="35"/>
    <s v="#EVRevolution"/>
    <m/>
    <m/>
    <x v="1"/>
    <n v="7.1956537279290869E-2"/>
    <x v="6"/>
    <m/>
    <s v="2025-03-01"/>
    <s v="2025-03-31"/>
    <x v="1"/>
  </r>
  <r>
    <s v="P133"/>
    <x v="3"/>
    <s v="2025-02-06"/>
    <s v="Image"/>
    <s v="Check out our latest image on facebook!"/>
    <n v="2072"/>
    <n v="532"/>
    <n v="71"/>
    <n v="37296"/>
    <n v="36467"/>
    <n v="25"/>
    <s v="#TeslaCoInnovation"/>
    <m/>
    <m/>
    <x v="1"/>
    <n v="7.172350922350923E-2"/>
    <x v="6"/>
    <m/>
    <s v="2025-03-01"/>
    <s v="2025-03-31"/>
    <x v="1"/>
  </r>
  <r>
    <s v="P027"/>
    <x v="2"/>
    <s v="2024-09-17"/>
    <s v="Text"/>
    <s v="Check out our latest text on youtube!"/>
    <n v="2076"/>
    <n v="195"/>
    <n v="104"/>
    <n v="33216"/>
    <n v="32244"/>
    <n v="51"/>
    <s v="#FutureOfDriving"/>
    <m/>
    <m/>
    <x v="1"/>
    <n v="7.1501685934489398E-2"/>
    <x v="6"/>
    <m/>
    <s v="2025-03-01"/>
    <s v="2025-03-31"/>
    <x v="1"/>
  </r>
  <r>
    <s v="P134"/>
    <x v="1"/>
    <s v="2025-04-24"/>
    <s v="Reel"/>
    <s v="Check out our latest reel on twitter!"/>
    <n v="3731"/>
    <n v="115"/>
    <n v="135"/>
    <n v="55965"/>
    <n v="55436"/>
    <n v="103"/>
    <s v="#TeslaCoInnovation"/>
    <m/>
    <m/>
    <x v="4"/>
    <n v="7.1133744304476013E-2"/>
    <x v="6"/>
    <m/>
    <s v="2024-06-15"/>
    <s v="2024-07-15"/>
    <x v="1"/>
  </r>
  <r>
    <s v="P090"/>
    <x v="0"/>
    <s v="2024-06-03"/>
    <s v="Image"/>
    <s v="Check out our latest image on instagram!"/>
    <n v="3861"/>
    <n v="960"/>
    <n v="101"/>
    <n v="69498"/>
    <n v="68817"/>
    <n v="297"/>
    <s v="#TeslaCoInnovation"/>
    <m/>
    <m/>
    <x v="1"/>
    <n v="7.0822181933293038E-2"/>
    <x v="6"/>
    <m/>
    <s v="2025-03-01"/>
    <s v="2025-03-31"/>
    <x v="1"/>
  </r>
  <r>
    <s v="P034"/>
    <x v="3"/>
    <s v="2025-03-26"/>
    <s v="Text"/>
    <s v="Check out our latest text on facebook!"/>
    <n v="1652"/>
    <n v="89"/>
    <n v="357"/>
    <n v="29736"/>
    <n v="28771"/>
    <n v="215"/>
    <s v="#TeslaCoInnovation"/>
    <m/>
    <m/>
    <x v="2"/>
    <n v="7.055421038471886E-2"/>
    <x v="6"/>
    <m/>
    <s v="2024-12-25"/>
    <s v="2025-01-10"/>
    <x v="1"/>
  </r>
  <r>
    <s v="P007"/>
    <x v="1"/>
    <s v="2024-06-24"/>
    <s v="Carousel"/>
    <s v="Check out our latest carousel on twitter!"/>
    <n v="3860"/>
    <n v="201"/>
    <n v="279"/>
    <n v="61760"/>
    <n v="61660"/>
    <n v="235"/>
    <s v="#TeslaCoInnovation"/>
    <m/>
    <m/>
    <x v="3"/>
    <n v="7.0272020725388601E-2"/>
    <x v="6"/>
    <m/>
    <s v="2024-10-01"/>
    <s v="2024-10-31"/>
    <x v="1"/>
  </r>
  <r>
    <s v="P142"/>
    <x v="2"/>
    <s v="2025-03-25"/>
    <s v="Story"/>
    <s v="Check out our latest story on youtube!"/>
    <n v="2070"/>
    <n v="275"/>
    <n v="386"/>
    <n v="39330"/>
    <n v="38627"/>
    <n v="114"/>
    <s v="#FutureOfDriving"/>
    <m/>
    <m/>
    <x v="1"/>
    <n v="6.9438087973557078E-2"/>
    <x v="6"/>
    <m/>
    <s v="2025-03-01"/>
    <s v="2025-03-31"/>
    <x v="2"/>
  </r>
  <r>
    <s v="P127"/>
    <x v="3"/>
    <s v="2025-01-27"/>
    <s v="Reel"/>
    <s v="Check out our latest reel on facebook!"/>
    <n v="3452"/>
    <n v="652"/>
    <n v="442"/>
    <n v="65588"/>
    <n v="65049"/>
    <n v="158"/>
    <s v="#FutureOfDriving"/>
    <m/>
    <m/>
    <x v="2"/>
    <n v="6.9311459413307311E-2"/>
    <x v="6"/>
    <m/>
    <s v="2024-12-25"/>
    <s v="2025-01-10"/>
    <x v="1"/>
  </r>
  <r>
    <s v="P170"/>
    <x v="1"/>
    <s v="2025-04-28"/>
    <s v="Text"/>
    <s v="Check out our latest text on twitter!"/>
    <n v="3577"/>
    <n v="596"/>
    <n v="493"/>
    <n v="67963"/>
    <n v="67839"/>
    <n v="53"/>
    <s v="#TeslaCoInnovation"/>
    <m/>
    <m/>
    <x v="2"/>
    <n v="6.8655003457763777E-2"/>
    <x v="6"/>
    <m/>
    <s v="2024-12-25"/>
    <s v="2025-01-10"/>
    <x v="1"/>
  </r>
  <r>
    <s v="P095"/>
    <x v="0"/>
    <s v="2024-11-08"/>
    <s v="Text"/>
    <s v="Check out our latest text on instagram!"/>
    <n v="3182"/>
    <n v="559"/>
    <n v="160"/>
    <n v="57276"/>
    <n v="56890"/>
    <n v="163"/>
    <s v="#FutureOfDriving"/>
    <m/>
    <m/>
    <x v="1"/>
    <n v="6.8108806480899509E-2"/>
    <x v="6"/>
    <m/>
    <s v="2025-03-01"/>
    <s v="2025-03-31"/>
    <x v="1"/>
  </r>
  <r>
    <s v="P288"/>
    <x v="2"/>
    <s v="2025-04-17"/>
    <s v="Carousel"/>
    <s v="Check out our latest carousel on youtube!"/>
    <n v="4780"/>
    <n v="691"/>
    <n v="380"/>
    <n v="86040"/>
    <n v="85743"/>
    <n v="262"/>
    <s v="#FutureOfDriving"/>
    <m/>
    <m/>
    <x v="2"/>
    <n v="6.800325430032543E-2"/>
    <x v="6"/>
    <m/>
    <s v="2024-12-25"/>
    <s v="2025-01-10"/>
    <x v="1"/>
  </r>
  <r>
    <s v="P237"/>
    <x v="0"/>
    <s v="2024-10-22"/>
    <s v="Story"/>
    <s v="Check out our latest story on instagram!"/>
    <n v="3770"/>
    <n v="917"/>
    <n v="129"/>
    <n v="71630"/>
    <n v="71322"/>
    <n v="76"/>
    <s v="#FutureOfDriving"/>
    <m/>
    <m/>
    <x v="4"/>
    <n v="6.7234398994834563E-2"/>
    <x v="6"/>
    <m/>
    <s v="2024-06-15"/>
    <s v="2024-07-15"/>
    <x v="1"/>
  </r>
  <r>
    <s v="P270"/>
    <x v="2"/>
    <s v="2025-01-15"/>
    <s v="Reel"/>
    <s v="Check out our latest reel on youtube!"/>
    <n v="3774"/>
    <n v="239"/>
    <n v="39"/>
    <n v="60384"/>
    <n v="59490"/>
    <n v="241"/>
    <s v="#TeslaCoInnovation"/>
    <m/>
    <m/>
    <x v="2"/>
    <n v="6.7103868574456813E-2"/>
    <x v="6"/>
    <m/>
    <s v="2024-12-25"/>
    <s v="2025-01-10"/>
    <x v="1"/>
  </r>
  <r>
    <s v="P005"/>
    <x v="2"/>
    <s v="2024-06-26"/>
    <s v="Reel"/>
    <s v="Check out our latest reel on youtube!"/>
    <n v="3557"/>
    <n v="687"/>
    <n v="424"/>
    <n v="71140"/>
    <n v="70701"/>
    <n v="224"/>
    <s v="#EVRevolution"/>
    <s v="#TeslaCoInnovation"/>
    <m/>
    <x v="4"/>
    <n v="6.5617093055946027E-2"/>
    <x v="6"/>
    <m/>
    <s v="2024-06-15"/>
    <s v="2024-07-15"/>
    <x v="2"/>
  </r>
  <r>
    <s v="P086"/>
    <x v="2"/>
    <s v="2025-01-27"/>
    <s v="Text"/>
    <s v="Check out our latest text on youtube!"/>
    <n v="3428"/>
    <n v="305"/>
    <n v="85"/>
    <n v="58276"/>
    <n v="58052"/>
    <n v="242"/>
    <s v="#EVRevolution"/>
    <s v="#BetterWithTesla"/>
    <m/>
    <x v="1"/>
    <n v="6.5515821264328367E-2"/>
    <x v="6"/>
    <m/>
    <s v="2025-03-01"/>
    <s v="2025-03-31"/>
    <x v="1"/>
  </r>
  <r>
    <s v="P144"/>
    <x v="2"/>
    <s v="2024-10-28"/>
    <s v="Story"/>
    <s v="Check out our latest story on youtube!"/>
    <n v="4929"/>
    <n v="749"/>
    <n v="452"/>
    <n v="93651"/>
    <n v="92810"/>
    <n v="66"/>
    <s v="#EVRevolution"/>
    <m/>
    <m/>
    <x v="1"/>
    <n v="6.5455787978772245E-2"/>
    <x v="6"/>
    <m/>
    <s v="2025-03-01"/>
    <s v="2025-03-31"/>
    <x v="1"/>
  </r>
  <r>
    <s v="P197"/>
    <x v="1"/>
    <s v="2024-10-22"/>
    <s v="Reel"/>
    <s v="Check out our latest reel on twitter!"/>
    <n v="4782"/>
    <n v="721"/>
    <n v="82"/>
    <n v="86076"/>
    <n v="85339"/>
    <n v="19"/>
    <s v="#EVRevolution"/>
    <m/>
    <m/>
    <x v="4"/>
    <n v="6.4884520656164318E-2"/>
    <x v="6"/>
    <m/>
    <s v="2024-06-15"/>
    <s v="2024-07-15"/>
    <x v="1"/>
  </r>
  <r>
    <s v="P135"/>
    <x v="3"/>
    <s v="2024-11-28"/>
    <s v="Text"/>
    <s v="Check out our latest text on facebook!"/>
    <n v="4213"/>
    <n v="253"/>
    <n v="434"/>
    <n v="75834"/>
    <n v="75437"/>
    <n v="272"/>
    <s v="#FutureOfDriving"/>
    <m/>
    <m/>
    <x v="1"/>
    <n v="6.461481657304112E-2"/>
    <x v="6"/>
    <m/>
    <s v="2025-03-01"/>
    <s v="2025-03-31"/>
    <x v="1"/>
  </r>
  <r>
    <s v="P073"/>
    <x v="3"/>
    <s v="2024-10-18"/>
    <s v="Story"/>
    <s v="Check out our latest story on facebook!"/>
    <n v="4126"/>
    <n v="426"/>
    <n v="486"/>
    <n v="78394"/>
    <n v="77798"/>
    <n v="88"/>
    <s v="#FutureOfDriving"/>
    <m/>
    <m/>
    <x v="1"/>
    <n v="6.4265122330790625E-2"/>
    <x v="6"/>
    <m/>
    <s v="2025-03-01"/>
    <s v="2025-03-31"/>
    <x v="1"/>
  </r>
  <r>
    <s v="P267"/>
    <x v="1"/>
    <s v="2024-10-04"/>
    <s v="Reel"/>
    <s v="Check out our latest reel on twitter!"/>
    <n v="4187"/>
    <n v="66"/>
    <n v="31"/>
    <n v="66992"/>
    <n v="66614"/>
    <n v="62"/>
    <s v="#FutureOfDriving"/>
    <m/>
    <m/>
    <x v="0"/>
    <n v="6.3947934081681396E-2"/>
    <x v="6"/>
    <m/>
    <s v=""/>
    <s v=""/>
    <x v="0"/>
  </r>
  <r>
    <s v="P020"/>
    <x v="0"/>
    <s v="2024-09-09"/>
    <s v="Carousel"/>
    <s v="Check out our latest carousel on instagram!"/>
    <n v="4054"/>
    <n v="488"/>
    <n v="373"/>
    <n v="77026"/>
    <n v="76881"/>
    <n v="25"/>
    <s v="#TeslaCoInnovation"/>
    <m/>
    <m/>
    <x v="4"/>
    <n v="6.3809622724794221E-2"/>
    <x v="6"/>
    <m/>
    <s v="2024-06-15"/>
    <s v="2024-07-15"/>
    <x v="1"/>
  </r>
  <r>
    <s v="P067"/>
    <x v="3"/>
    <s v="2025-03-29"/>
    <s v="Carousel"/>
    <s v="Check out our latest carousel on facebook!"/>
    <n v="4712"/>
    <n v="568"/>
    <n v="127"/>
    <n v="84816"/>
    <n v="84691"/>
    <n v="100"/>
    <s v="#EVRevolution"/>
    <m/>
    <m/>
    <x v="2"/>
    <n v="6.3749764195434822E-2"/>
    <x v="6"/>
    <m/>
    <s v="2024-12-25"/>
    <s v="2025-01-10"/>
    <x v="1"/>
  </r>
  <r>
    <s v="P150"/>
    <x v="2"/>
    <s v="2024-08-22"/>
    <s v="Carousel"/>
    <s v="Check out our latest carousel on youtube!"/>
    <n v="4295"/>
    <n v="853"/>
    <n v="325"/>
    <n v="85900"/>
    <n v="85788"/>
    <n v="290"/>
    <s v="#TeslaCoInnovation"/>
    <m/>
    <m/>
    <x v="1"/>
    <n v="6.3713620488940623E-2"/>
    <x v="6"/>
    <m/>
    <s v="2025-03-01"/>
    <s v="2025-03-31"/>
    <x v="1"/>
  </r>
  <r>
    <s v="P281"/>
    <x v="2"/>
    <s v="2025-03-22"/>
    <s v="Image"/>
    <s v="Check out our latest image on youtube!"/>
    <n v="3166"/>
    <n v="90"/>
    <n v="341"/>
    <n v="56988"/>
    <n v="56125"/>
    <n v="135"/>
    <s v="#EVRevolution"/>
    <m/>
    <m/>
    <x v="3"/>
    <n v="6.3118551273952411E-2"/>
    <x v="6"/>
    <m/>
    <s v="2024-10-01"/>
    <s v="2024-10-31"/>
    <x v="1"/>
  </r>
  <r>
    <s v="P217"/>
    <x v="3"/>
    <s v="2024-12-03"/>
    <s v="Image"/>
    <s v="Check out our latest image on facebook!"/>
    <n v="4606"/>
    <n v="931"/>
    <n v="230"/>
    <n v="92120"/>
    <n v="91440"/>
    <n v="56"/>
    <s v="#TeslaCoInnovation"/>
    <m/>
    <m/>
    <x v="0"/>
    <n v="6.2603126356925748E-2"/>
    <x v="6"/>
    <m/>
    <s v=""/>
    <s v=""/>
    <x v="0"/>
  </r>
  <r>
    <s v="P200"/>
    <x v="3"/>
    <s v="2025-04-07"/>
    <s v="Reel"/>
    <s v="Check out our latest reel on facebook!"/>
    <n v="3718"/>
    <n v="385"/>
    <n v="310"/>
    <n v="70642"/>
    <n v="69749"/>
    <n v="233"/>
    <s v="#TeslaCoInnovation"/>
    <m/>
    <m/>
    <x v="3"/>
    <n v="6.246991874522239E-2"/>
    <x v="6"/>
    <m/>
    <s v="2024-10-01"/>
    <s v="2024-10-31"/>
    <x v="1"/>
  </r>
  <r>
    <s v="P107"/>
    <x v="2"/>
    <s v="2024-06-21"/>
    <s v="Image"/>
    <s v="Check out our latest image on youtube!"/>
    <n v="4832"/>
    <n v="893"/>
    <n v="10"/>
    <n v="91808"/>
    <n v="91296"/>
    <n v="182"/>
    <s v="#TeslaCoInnovation"/>
    <m/>
    <m/>
    <x v="0"/>
    <n v="6.2467323109097243E-2"/>
    <x v="6"/>
    <m/>
    <s v=""/>
    <s v=""/>
    <x v="0"/>
  </r>
  <r>
    <s v="P115"/>
    <x v="1"/>
    <s v="2025-05-11"/>
    <s v="Image"/>
    <s v="Check out our latest image on twitter!"/>
    <n v="2493"/>
    <n v="97"/>
    <n v="44"/>
    <n v="42381"/>
    <n v="41991"/>
    <n v="242"/>
    <s v="#TeslaCoInnovation"/>
    <s v="#AnytimeIsTeslaTime"/>
    <m/>
    <x v="1"/>
    <n v="6.2150491965739366E-2"/>
    <x v="6"/>
    <m/>
    <s v="2025-03-01"/>
    <s v="2025-03-31"/>
    <x v="1"/>
  </r>
  <r>
    <s v="P223"/>
    <x v="1"/>
    <s v="2024-11-12"/>
    <s v="Image"/>
    <s v="Check out our latest image on twitter!"/>
    <n v="3338"/>
    <n v="277"/>
    <n v="118"/>
    <n v="60084"/>
    <n v="59842"/>
    <n v="252"/>
    <s v="#TeslaCoInnovation"/>
    <m/>
    <m/>
    <x v="0"/>
    <n v="6.2129685107516146E-2"/>
    <x v="6"/>
    <m/>
    <s v=""/>
    <s v=""/>
    <x v="0"/>
  </r>
  <r>
    <s v="P279"/>
    <x v="2"/>
    <s v="2024-09-02"/>
    <s v="Image"/>
    <s v="Check out our latest image on youtube!"/>
    <n v="4905"/>
    <n v="845"/>
    <n v="129"/>
    <n v="98100"/>
    <n v="97772"/>
    <n v="279"/>
    <s v="#TeslaCoInnovation"/>
    <m/>
    <m/>
    <x v="3"/>
    <n v="5.9928644240570844E-2"/>
    <x v="6"/>
    <m/>
    <s v="2024-10-01"/>
    <s v="2024-10-31"/>
    <x v="1"/>
  </r>
  <r>
    <s v="P025"/>
    <x v="1"/>
    <s v="2025-04-10"/>
    <s v="Carousel"/>
    <s v="Check out our latest carousel on twitter!"/>
    <n v="3128"/>
    <n v="211"/>
    <n v="197"/>
    <n v="59432"/>
    <n v="59182"/>
    <n v="238"/>
    <s v="#EVRevolution"/>
    <m/>
    <m/>
    <x v="0"/>
    <n v="5.9496567505720827E-2"/>
    <x v="6"/>
    <m/>
    <s v=""/>
    <s v=""/>
    <x v="0"/>
  </r>
  <r>
    <s v="P015"/>
    <x v="3"/>
    <s v="2024-10-24"/>
    <s v="Video"/>
    <s v="Check out our latest video on facebook!"/>
    <n v="3888"/>
    <n v="604"/>
    <n v="128"/>
    <n v="77760"/>
    <n v="77167"/>
    <n v="20"/>
    <s v="#FutureOfDriving"/>
    <m/>
    <m/>
    <x v="4"/>
    <n v="5.941358024691358E-2"/>
    <x v="6"/>
    <m/>
    <s v="2024-06-15"/>
    <s v="2024-07-15"/>
    <x v="1"/>
  </r>
  <r>
    <s v="P296"/>
    <x v="1"/>
    <s v="2025-02-11"/>
    <s v="Video"/>
    <s v="Check out our latest video on twitter!"/>
    <n v="3440"/>
    <n v="13"/>
    <n v="20"/>
    <n v="58480"/>
    <n v="58146"/>
    <n v="210"/>
    <s v="#TeslaCoInnovation"/>
    <s v="#SmoothLikeNitroTesla"/>
    <m/>
    <x v="1"/>
    <n v="5.9387824897400819E-2"/>
    <x v="6"/>
    <m/>
    <s v="2025-03-01"/>
    <s v="2025-03-31"/>
    <x v="1"/>
  </r>
  <r>
    <s v="P298"/>
    <x v="3"/>
    <s v="2024-10-24"/>
    <s v="Image"/>
    <s v="Check out our latest image on facebook!"/>
    <n v="4303"/>
    <n v="451"/>
    <n v="286"/>
    <n v="86060"/>
    <n v="85823"/>
    <n v="14"/>
    <s v="#TeslaCoInnovation"/>
    <m/>
    <m/>
    <x v="2"/>
    <n v="5.8563792702765516E-2"/>
    <x v="6"/>
    <m/>
    <s v="2024-12-25"/>
    <s v="2025-01-10"/>
    <x v="1"/>
  </r>
  <r>
    <s v="P216"/>
    <x v="2"/>
    <s v="2024-07-29"/>
    <s v="Story"/>
    <s v="Check out our latest story on youtube!"/>
    <n v="1509"/>
    <n v="88"/>
    <n v="163"/>
    <n v="30180"/>
    <n v="29689"/>
    <n v="119"/>
    <s v="#EVRevolution"/>
    <m/>
    <m/>
    <x v="3"/>
    <n v="5.8316766070245198E-2"/>
    <x v="6"/>
    <m/>
    <s v="2024-10-01"/>
    <s v="2024-10-31"/>
    <x v="1"/>
  </r>
  <r>
    <s v="P283"/>
    <x v="1"/>
    <s v="2025-05-09"/>
    <s v="Reel"/>
    <s v="Check out our latest reel on twitter!"/>
    <n v="3367"/>
    <n v="302"/>
    <n v="57"/>
    <n v="63973"/>
    <n v="63789"/>
    <n v="157"/>
    <s v="#FutureOfDriving"/>
    <m/>
    <m/>
    <x v="3"/>
    <n v="5.8243321401216137E-2"/>
    <x v="6"/>
    <m/>
    <s v="2024-10-01"/>
    <s v="2024-10-31"/>
    <x v="1"/>
  </r>
  <r>
    <s v="P256"/>
    <x v="2"/>
    <s v="2024-09-18"/>
    <s v="Carousel"/>
    <s v="Check out our latest carousel on youtube!"/>
    <n v="2143"/>
    <n v="12"/>
    <n v="204"/>
    <n v="40717"/>
    <n v="40125"/>
    <n v="248"/>
    <s v="#EVRevolution"/>
    <m/>
    <m/>
    <x v="3"/>
    <n v="5.7936488444630008E-2"/>
    <x v="6"/>
    <m/>
    <s v="2024-10-01"/>
    <s v="2024-10-31"/>
    <x v="1"/>
  </r>
  <r>
    <s v="P030"/>
    <x v="0"/>
    <s v="2025-02-25"/>
    <s v="Video"/>
    <s v="Check out our latest video on instagram!"/>
    <n v="3095"/>
    <n v="39"/>
    <n v="78"/>
    <n v="55710"/>
    <n v="54808"/>
    <n v="93"/>
    <s v="#EVRevolution"/>
    <m/>
    <m/>
    <x v="0"/>
    <n v="5.7655717106444085E-2"/>
    <x v="6"/>
    <m/>
    <s v=""/>
    <s v=""/>
    <x v="0"/>
  </r>
  <r>
    <s v="P203"/>
    <x v="0"/>
    <s v="2024-11-21"/>
    <s v="Carousel"/>
    <s v="Check out our latest carousel on instagram!"/>
    <n v="3773"/>
    <n v="299"/>
    <n v="38"/>
    <n v="71687"/>
    <n v="71447"/>
    <n v="286"/>
    <s v="#FutureOfDriving"/>
    <m/>
    <m/>
    <x v="4"/>
    <n v="5.7332570758993957E-2"/>
    <x v="6"/>
    <m/>
    <s v="2024-06-15"/>
    <s v="2024-07-15"/>
    <x v="1"/>
  </r>
  <r>
    <s v="P225"/>
    <x v="1"/>
    <s v="2024-06-20"/>
    <s v="Carousel"/>
    <s v="Check out our latest carousel on twitter!"/>
    <n v="4672"/>
    <n v="325"/>
    <n v="32"/>
    <n v="88768"/>
    <n v="87833"/>
    <n v="118"/>
    <s v="#EVRevolution"/>
    <m/>
    <m/>
    <x v="0"/>
    <n v="5.6653298485940883E-2"/>
    <x v="6"/>
    <m/>
    <s v=""/>
    <s v=""/>
    <x v="0"/>
  </r>
  <r>
    <s v="P145"/>
    <x v="0"/>
    <s v="2024-08-12"/>
    <s v="Carousel"/>
    <s v="Check out our latest carousel on instagram!"/>
    <n v="1878"/>
    <n v="62"/>
    <n v="179"/>
    <n v="37560"/>
    <n v="36874"/>
    <n v="142"/>
    <s v="#TeslaCoInnovation"/>
    <m/>
    <m/>
    <x v="1"/>
    <n v="5.6416400425985093E-2"/>
    <x v="6"/>
    <m/>
    <s v="2025-03-01"/>
    <s v="2025-03-31"/>
    <x v="1"/>
  </r>
  <r>
    <s v="P190"/>
    <x v="2"/>
    <s v="2024-10-04"/>
    <s v="Text"/>
    <s v="Check out our latest text on youtube!"/>
    <n v="1963"/>
    <n v="213"/>
    <n v="19"/>
    <n v="39260"/>
    <n v="38771"/>
    <n v="145"/>
    <s v="#FutureOfDriving"/>
    <m/>
    <m/>
    <x v="0"/>
    <n v="5.5909322465613857E-2"/>
    <x v="6"/>
    <m/>
    <s v=""/>
    <s v=""/>
    <x v="0"/>
  </r>
  <r>
    <s v="P003"/>
    <x v="2"/>
    <s v="2025-05-12"/>
    <s v="Reel"/>
    <s v="Check out our latest reel on youtube!"/>
    <n v="2795"/>
    <n v="105"/>
    <n v="49"/>
    <n v="53105"/>
    <n v="52307"/>
    <n v="204"/>
    <s v="#TeslaCoInnovation"/>
    <m/>
    <m/>
    <x v="2"/>
    <n v="5.5531494209584788E-2"/>
    <x v="6"/>
    <m/>
    <s v="2024-12-25"/>
    <s v="2025-01-10"/>
    <x v="1"/>
  </r>
  <r>
    <s v="P176"/>
    <x v="3"/>
    <s v="2024-06-20"/>
    <s v="Video"/>
    <s v="Check out our latest video on facebook!"/>
    <n v="3798"/>
    <n v="31"/>
    <n v="279"/>
    <n v="75960"/>
    <n v="75813"/>
    <n v="266"/>
    <s v="#TeslaCoInnovation"/>
    <m/>
    <m/>
    <x v="4"/>
    <n v="5.4081095313322801E-2"/>
    <x v="6"/>
    <m/>
    <s v="2024-06-15"/>
    <s v="2024-07-15"/>
    <x v="2"/>
  </r>
  <r>
    <s v="P063"/>
    <x v="1"/>
    <s v="2024-07-31"/>
    <s v="Carousel"/>
    <s v="Check out our latest carousel on twitter!"/>
    <n v="4507"/>
    <n v="217"/>
    <n v="13"/>
    <n v="90140"/>
    <n v="89591"/>
    <n v="125"/>
    <s v="#FutureOfDriving"/>
    <m/>
    <m/>
    <x v="2"/>
    <n v="5.2551586421122697E-2"/>
    <x v="6"/>
    <m/>
    <s v="2024-12-25"/>
    <s v="2025-01-1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s v="Instagram"/>
    <s v="2024-06-02"/>
    <x v="0"/>
    <s v="Check out our latest story on instagram!"/>
    <n v="84"/>
    <n v="897"/>
    <n v="85"/>
    <n v="588"/>
    <n v="8"/>
    <n v="12"/>
    <s v="#EVRevolution"/>
    <m/>
    <m/>
    <x v="0"/>
    <n v="1.8129251700680271"/>
    <x v="0"/>
    <n v="107"/>
  </r>
  <r>
    <s v="P058"/>
    <s v="Instagram"/>
    <s v="2025-04-15"/>
    <x v="1"/>
    <s v="Check out our latest reel on instagram!"/>
    <n v="103"/>
    <n v="770"/>
    <n v="19"/>
    <n v="1030"/>
    <n v="410"/>
    <n v="262"/>
    <s v="#TeslaCoInnovation"/>
    <m/>
    <m/>
    <x v="1"/>
    <n v="0.86601941747572819"/>
    <x v="1"/>
    <n v="102"/>
  </r>
  <r>
    <s v="P232"/>
    <s v="Twitter"/>
    <s v="2025-04-29"/>
    <x v="0"/>
    <s v="Check out our latest story on twitter!"/>
    <n v="249"/>
    <n v="592"/>
    <n v="230"/>
    <n v="1494"/>
    <n v="1044"/>
    <n v="201"/>
    <s v="#EVRevolution"/>
    <m/>
    <m/>
    <x v="1"/>
    <n v="0.7168674698795181"/>
    <x v="2"/>
    <n v="103"/>
  </r>
  <r>
    <s v="P178"/>
    <s v="Instagram"/>
    <s v="2024-11-07"/>
    <x v="2"/>
    <s v="Check out our latest video on instagram!"/>
    <n v="129"/>
    <n v="643"/>
    <n v="136"/>
    <n v="1290"/>
    <n v="839"/>
    <n v="238"/>
    <s v="#TeslaCoInnovation"/>
    <m/>
    <m/>
    <x v="1"/>
    <n v="0.70387596899224802"/>
    <x v="3"/>
    <n v="7"/>
  </r>
  <r>
    <s v="P175"/>
    <s v="Instagram"/>
    <s v="2025-01-17"/>
    <x v="1"/>
    <s v="Check out our latest reel on instagram!"/>
    <n v="142"/>
    <n v="784"/>
    <n v="183"/>
    <n v="1704"/>
    <n v="995"/>
    <n v="154"/>
    <s v="#FutureOfDriving"/>
    <m/>
    <m/>
    <x v="1"/>
    <n v="0.6508215962441315"/>
    <x v="4"/>
    <n v="15"/>
  </r>
  <r>
    <s v="P062"/>
    <s v="Twitter"/>
    <s v="2024-11-22"/>
    <x v="3"/>
    <s v="Check out our latest carousel on twitter!"/>
    <n v="53"/>
    <n v="81"/>
    <n v="379"/>
    <n v="954"/>
    <n v="7"/>
    <n v="148"/>
    <s v="#TeslaCoInnovation"/>
    <m/>
    <m/>
    <x v="2"/>
    <n v="0.53773584905660377"/>
    <x v="5"/>
    <n v="5"/>
  </r>
  <r>
    <s v="P264"/>
    <s v="Twitter"/>
    <s v="2025-01-30"/>
    <x v="4"/>
    <s v="Check out our latest image on twitter!"/>
    <n v="59"/>
    <n v="163"/>
    <n v="93"/>
    <n v="590"/>
    <n v="475"/>
    <n v="293"/>
    <s v="#TeslaCoInnovation"/>
    <m/>
    <m/>
    <x v="3"/>
    <n v="0.53389830508474578"/>
    <x v="6"/>
    <m/>
  </r>
  <r>
    <s v="P143"/>
    <s v="YouTube"/>
    <s v="2024-10-02"/>
    <x v="3"/>
    <s v="Check out our latest carousel on youtube!"/>
    <n v="80"/>
    <n v="362"/>
    <n v="80"/>
    <n v="1040"/>
    <n v="349"/>
    <n v="117"/>
    <s v="#TeslaCoInnovation"/>
    <m/>
    <m/>
    <x v="2"/>
    <n v="0.50192307692307692"/>
    <x v="6"/>
    <m/>
  </r>
  <r>
    <s v="P210"/>
    <s v="YouTube"/>
    <s v="2025-02-19"/>
    <x v="4"/>
    <s v="Check out our latest image on youtube!"/>
    <n v="257"/>
    <n v="966"/>
    <n v="398"/>
    <n v="3341"/>
    <n v="2753"/>
    <n v="287"/>
    <s v="#FutureOfDriving"/>
    <m/>
    <m/>
    <x v="4"/>
    <n v="0.48518407662376534"/>
    <x v="6"/>
    <m/>
  </r>
  <r>
    <s v="P070"/>
    <s v="Facebook"/>
    <s v="2025-04-02"/>
    <x v="2"/>
    <s v="Check out our latest video on facebook!"/>
    <n v="199"/>
    <n v="772"/>
    <n v="400"/>
    <n v="3582"/>
    <n v="2988"/>
    <n v="43"/>
    <s v="#TeslaCoInnovation"/>
    <m/>
    <m/>
    <x v="0"/>
    <n v="0.38274706867671693"/>
    <x v="6"/>
    <m/>
  </r>
  <r>
    <s v="P214"/>
    <s v="Instagram"/>
    <s v="2024-12-23"/>
    <x v="4"/>
    <s v="Check out our latest image on instagram!"/>
    <n v="521"/>
    <n v="746"/>
    <n v="315"/>
    <n v="4168"/>
    <n v="3399"/>
    <n v="282"/>
    <s v="#FutureOfDriving"/>
    <m/>
    <m/>
    <x v="3"/>
    <n v="0.37955854126679461"/>
    <x v="6"/>
    <m/>
  </r>
  <r>
    <s v="P053"/>
    <s v="YouTube"/>
    <s v="2025-02-24"/>
    <x v="3"/>
    <s v="Check out our latest carousel on youtube!"/>
    <n v="804"/>
    <n v="639"/>
    <n v="43"/>
    <n v="4020"/>
    <n v="3144"/>
    <n v="11"/>
    <s v="#EVRevolution"/>
    <s v="#BetterWithTesla"/>
    <m/>
    <x v="0"/>
    <n v="0.36965174129353234"/>
    <x v="6"/>
    <m/>
  </r>
  <r>
    <s v="P102"/>
    <s v="Twitter"/>
    <s v="2024-09-18"/>
    <x v="1"/>
    <s v="Check out our latest reel on twitter!"/>
    <n v="1000"/>
    <n v="978"/>
    <n v="162"/>
    <n v="6000"/>
    <n v="5221"/>
    <n v="223"/>
    <s v="#EVRevolution"/>
    <m/>
    <m/>
    <x v="3"/>
    <n v="0.35666666666666669"/>
    <x v="6"/>
    <m/>
  </r>
  <r>
    <s v="P124"/>
    <s v="YouTube"/>
    <s v="2025-04-06"/>
    <x v="3"/>
    <s v="Check out our latest carousel on youtube!"/>
    <n v="736"/>
    <n v="771"/>
    <n v="225"/>
    <n v="5152"/>
    <n v="4706"/>
    <n v="19"/>
    <s v="#EVRevolution"/>
    <m/>
    <m/>
    <x v="4"/>
    <n v="0.33618012422360249"/>
    <x v="6"/>
    <m/>
  </r>
  <r>
    <s v="P121"/>
    <s v="Instagram"/>
    <s v="2024-07-29"/>
    <x v="0"/>
    <s v="Check out our latest story on instagram!"/>
    <n v="498"/>
    <n v="701"/>
    <n v="412"/>
    <n v="4980"/>
    <n v="4185"/>
    <n v="185"/>
    <s v="#FutureOfDriving"/>
    <m/>
    <m/>
    <x v="0"/>
    <n v="0.32349397590361445"/>
    <x v="6"/>
    <m/>
  </r>
  <r>
    <s v="P224"/>
    <s v="Facebook"/>
    <s v="2025-05-13"/>
    <x v="4"/>
    <s v="Check out our latest image on facebook!"/>
    <n v="602"/>
    <n v="594"/>
    <n v="156"/>
    <n v="4214"/>
    <n v="3363"/>
    <n v="164"/>
    <s v="#TeslaCoInnovation"/>
    <m/>
    <m/>
    <x v="2"/>
    <n v="0.32083531086853345"/>
    <x v="6"/>
    <m/>
  </r>
  <r>
    <s v="P154"/>
    <s v="Instagram"/>
    <s v="2024-10-09"/>
    <x v="3"/>
    <s v="Check out our latest carousel on instagram!"/>
    <n v="985"/>
    <n v="932"/>
    <n v="287"/>
    <n v="6895"/>
    <n v="6757"/>
    <n v="64"/>
    <s v="#FutureOfDriving"/>
    <m/>
    <m/>
    <x v="1"/>
    <n v="0.31965192168237855"/>
    <x v="6"/>
    <m/>
  </r>
  <r>
    <s v="P119"/>
    <s v="Instagram"/>
    <s v="2025-02-07"/>
    <x v="1"/>
    <s v="Check out our latest reel on instagram!"/>
    <n v="1970"/>
    <n v="675"/>
    <n v="478"/>
    <n v="9850"/>
    <n v="8924"/>
    <n v="117"/>
    <s v="#FutureOfDriving"/>
    <m/>
    <m/>
    <x v="0"/>
    <n v="0.31705583756345179"/>
    <x v="6"/>
    <m/>
  </r>
  <r>
    <s v="P287"/>
    <s v="Instagram"/>
    <s v="2024-08-15"/>
    <x v="1"/>
    <s v="Check out our latest reel on instagram!"/>
    <n v="1164"/>
    <n v="616"/>
    <n v="324"/>
    <n v="6984"/>
    <n v="6636"/>
    <n v="82"/>
    <s v="#EVRevolution"/>
    <m/>
    <m/>
    <x v="4"/>
    <n v="0.30126002290950743"/>
    <x v="6"/>
    <m/>
  </r>
  <r>
    <s v="P204"/>
    <s v="Instagram"/>
    <s v="2025-01-01"/>
    <x v="3"/>
    <s v="Check out our latest carousel on instagram!"/>
    <n v="2234"/>
    <n v="653"/>
    <n v="432"/>
    <n v="11170"/>
    <n v="10569"/>
    <n v="198"/>
    <s v="#FutureOfDriving"/>
    <m/>
    <m/>
    <x v="2"/>
    <n v="0.29713518352730528"/>
    <x v="6"/>
    <m/>
  </r>
  <r>
    <s v="P066"/>
    <s v="Twitter"/>
    <s v="2024-07-26"/>
    <x v="3"/>
    <s v="Check out our latest carousel on twitter!"/>
    <n v="432"/>
    <n v="171"/>
    <n v="280"/>
    <n v="3024"/>
    <n v="2285"/>
    <n v="184"/>
    <s v="#EVRevolution"/>
    <m/>
    <m/>
    <x v="4"/>
    <n v="0.29199735449735448"/>
    <x v="6"/>
    <m/>
  </r>
  <r>
    <s v="P183"/>
    <s v="Instagram"/>
    <s v="2024-12-17"/>
    <x v="0"/>
    <s v="Check out our latest story on instagram!"/>
    <n v="360"/>
    <n v="590"/>
    <n v="393"/>
    <n v="4680"/>
    <n v="4322"/>
    <n v="208"/>
    <s v="#FutureOfDriving"/>
    <m/>
    <m/>
    <x v="3"/>
    <n v="0.28696581196581195"/>
    <x v="6"/>
    <m/>
  </r>
  <r>
    <m/>
    <s v="Instagram"/>
    <s v="2024-12-16"/>
    <x v="5"/>
    <s v="Check out our latest text on instagram!"/>
    <n v="438"/>
    <n v="153"/>
    <n v="275"/>
    <n v="3066"/>
    <n v="2701"/>
    <n v="282"/>
    <s v="#TeslaCoInnovation"/>
    <m/>
    <m/>
    <x v="3"/>
    <n v="0.28245270711024134"/>
    <x v="6"/>
    <m/>
  </r>
  <r>
    <s v="P093"/>
    <s v="Instagram"/>
    <s v="2024-12-11"/>
    <x v="2"/>
    <s v="Check out our latest video on instagram!"/>
    <n v="1431"/>
    <n v="951"/>
    <n v="26"/>
    <n v="8586"/>
    <n v="8396"/>
    <n v="150"/>
    <s v="#EVRevolution"/>
    <m/>
    <m/>
    <x v="2"/>
    <n v="0.28045655718611695"/>
    <x v="6"/>
    <m/>
  </r>
  <r>
    <s v="P263"/>
    <s v="Instagram"/>
    <s v="2024-08-20"/>
    <x v="1"/>
    <s v="Check out our latest reel on instagram!"/>
    <n v="2603"/>
    <n v="690"/>
    <n v="205"/>
    <n v="13015"/>
    <n v="12130"/>
    <n v="20"/>
    <s v="#FutureOfDriving"/>
    <m/>
    <m/>
    <x v="3"/>
    <n v="0.26876680752977333"/>
    <x v="6"/>
    <m/>
  </r>
  <r>
    <s v="P248"/>
    <s v="Facebook"/>
    <s v="2025-02-02"/>
    <x v="0"/>
    <s v="Check out our latest story on facebook!"/>
    <n v="886"/>
    <n v="126"/>
    <n v="153"/>
    <n v="4430"/>
    <n v="4037"/>
    <n v="212"/>
    <s v="#EVRevolution"/>
    <m/>
    <m/>
    <x v="0"/>
    <n v="0.26297968397291194"/>
    <x v="6"/>
    <m/>
  </r>
  <r>
    <s v="P244"/>
    <s v="YouTube"/>
    <s v="2024-10-25"/>
    <x v="2"/>
    <s v="Check out our latest video on youtube!"/>
    <n v="4661"/>
    <n v="935"/>
    <n v="433"/>
    <n v="23305"/>
    <n v="22583"/>
    <n v="63"/>
    <s v="#FutureOfDriving"/>
    <m/>
    <m/>
    <x v="2"/>
    <n v="0.25869984981763572"/>
    <x v="6"/>
    <m/>
  </r>
  <r>
    <s v="P259"/>
    <s v="Facebook"/>
    <s v="2025-02-10"/>
    <x v="5"/>
    <s v="Check out our latest text on facebook!"/>
    <n v="562"/>
    <n v="158"/>
    <n v="149"/>
    <n v="3372"/>
    <n v="2940"/>
    <n v="93"/>
    <s v="#TeslaCoInnovation"/>
    <m/>
    <m/>
    <x v="4"/>
    <n v="0.25771055753262156"/>
    <x v="6"/>
    <m/>
  </r>
  <r>
    <s v="P219"/>
    <s v="Twitter"/>
    <s v="2025-01-28"/>
    <x v="1"/>
    <s v="Check out our latest reel on twitter!"/>
    <n v="1188"/>
    <n v="470"/>
    <n v="174"/>
    <n v="7128"/>
    <n v="6145"/>
    <n v="270"/>
    <s v="#TeslaCoInnovation"/>
    <m/>
    <m/>
    <x v="1"/>
    <n v="0.25701459034792368"/>
    <x v="6"/>
    <m/>
  </r>
  <r>
    <s v="P226"/>
    <s v="Instagram"/>
    <s v="2024-08-07"/>
    <x v="3"/>
    <s v="Check out our latest carousel on instagram!"/>
    <n v="1741"/>
    <n v="164"/>
    <n v="318"/>
    <n v="8705"/>
    <n v="8272"/>
    <n v="121"/>
    <s v="#TeslaCoInnovation"/>
    <m/>
    <m/>
    <x v="0"/>
    <n v="0.25537047673750718"/>
    <x v="6"/>
    <m/>
  </r>
  <r>
    <s v="P265"/>
    <s v="Twitter"/>
    <s v="2025-02-20"/>
    <x v="3"/>
    <s v="Check out our latest carousel on twitter!"/>
    <n v="1877"/>
    <n v="745"/>
    <n v="225"/>
    <n v="11262"/>
    <n v="10967"/>
    <n v="41"/>
    <s v="#EVRevolution"/>
    <m/>
    <m/>
    <x v="1"/>
    <n v="0.25279701651571657"/>
    <x v="6"/>
    <m/>
  </r>
  <r>
    <s v="P239"/>
    <s v="YouTube"/>
    <s v="2025-02-24"/>
    <x v="5"/>
    <s v="Check out our latest text on youtube!"/>
    <n v="4188"/>
    <n v="942"/>
    <n v="118"/>
    <n v="20940"/>
    <n v="20471"/>
    <n v="102"/>
    <s v="#FutureOfDriving"/>
    <m/>
    <m/>
    <x v="0"/>
    <n v="0.25062082139446035"/>
    <x v="6"/>
    <m/>
  </r>
  <r>
    <s v="P277"/>
    <s v="Facebook"/>
    <s v="2025-04-06"/>
    <x v="4"/>
    <s v="Check out our latest image on facebook!"/>
    <n v="4236"/>
    <n v="711"/>
    <n v="298"/>
    <n v="21180"/>
    <n v="20516"/>
    <n v="238"/>
    <s v="#FutureOfDriving"/>
    <m/>
    <m/>
    <x v="4"/>
    <n v="0.24763928234183191"/>
    <x v="6"/>
    <m/>
  </r>
  <r>
    <s v="P297"/>
    <s v="Twitter"/>
    <s v="2024-12-24"/>
    <x v="5"/>
    <s v="Check out our latest text on twitter!"/>
    <n v="2166"/>
    <n v="354"/>
    <n v="117"/>
    <n v="10830"/>
    <n v="10245"/>
    <n v="24"/>
    <s v="#EVRevolution"/>
    <m/>
    <m/>
    <x v="1"/>
    <n v="0.24349030470914126"/>
    <x v="6"/>
    <m/>
  </r>
  <r>
    <s v="P181"/>
    <s v="YouTube"/>
    <s v="2025-03-21"/>
    <x v="4"/>
    <s v="Check out our latest image on youtube!"/>
    <n v="606"/>
    <n v="789"/>
    <n v="470"/>
    <n v="7878"/>
    <n v="7389"/>
    <n v="239"/>
    <s v="#EVRevolution"/>
    <m/>
    <m/>
    <x v="2"/>
    <n v="0.23673521198273673"/>
    <x v="6"/>
    <m/>
  </r>
  <r>
    <s v="P246"/>
    <s v="Facebook"/>
    <s v="2024-10-11"/>
    <x v="4"/>
    <s v="Check out our latest image on facebook!"/>
    <n v="400"/>
    <n v="680"/>
    <n v="434"/>
    <n v="6400"/>
    <n v="5472"/>
    <n v="160"/>
    <s v="#FutureOfDriving"/>
    <m/>
    <m/>
    <x v="3"/>
    <n v="0.23656250000000001"/>
    <x v="6"/>
    <m/>
  </r>
  <r>
    <s v="P123"/>
    <s v="Instagram"/>
    <s v="2024-06-14"/>
    <x v="0"/>
    <s v="Check out our latest story on instagram!"/>
    <n v="4363"/>
    <n v="649"/>
    <n v="140"/>
    <n v="21815"/>
    <n v="21481"/>
    <n v="157"/>
    <s v="#EVRevolution"/>
    <m/>
    <m/>
    <x v="4"/>
    <n v="0.23616777446710979"/>
    <x v="6"/>
    <m/>
  </r>
  <r>
    <s v="P120"/>
    <s v="Facebook"/>
    <s v="2024-10-21"/>
    <x v="0"/>
    <s v="Check out our latest story on facebook!"/>
    <n v="780"/>
    <n v="928"/>
    <n v="301"/>
    <n v="8580"/>
    <n v="8081"/>
    <n v="91"/>
    <s v="#EVRevolution"/>
    <m/>
    <m/>
    <x v="2"/>
    <n v="0.23414918414918415"/>
    <x v="6"/>
    <m/>
  </r>
  <r>
    <s v="P141"/>
    <s v="Twitter"/>
    <s v="2024-08-31"/>
    <x v="4"/>
    <s v="Check out our latest image on twitter!"/>
    <n v="3170"/>
    <n v="857"/>
    <n v="379"/>
    <n v="19020"/>
    <n v="18559"/>
    <n v="240"/>
    <s v="#FutureOfDriving"/>
    <m/>
    <m/>
    <x v="0"/>
    <n v="0.2316508937960042"/>
    <x v="6"/>
    <m/>
  </r>
  <r>
    <s v="P163"/>
    <s v="Instagram"/>
    <s v="2025-04-08"/>
    <x v="4"/>
    <s v="Check out our latest image on instagram!"/>
    <n v="4501"/>
    <n v="375"/>
    <n v="323"/>
    <n v="22505"/>
    <n v="21836"/>
    <n v="132"/>
    <s v="#TeslaCoInnovation"/>
    <m/>
    <m/>
    <x v="3"/>
    <n v="0.23101532992668297"/>
    <x v="6"/>
    <m/>
  </r>
  <r>
    <s v="P269"/>
    <s v="Instagram"/>
    <s v="2024-11-05"/>
    <x v="2"/>
    <s v="Check out our latest video on instagram!"/>
    <n v="4561"/>
    <n v="51"/>
    <n v="441"/>
    <n v="22805"/>
    <n v="21890"/>
    <n v="45"/>
    <s v="#TeslaCoInnovation"/>
    <m/>
    <m/>
    <x v="3"/>
    <n v="0.22157421618066214"/>
    <x v="6"/>
    <m/>
  </r>
  <r>
    <s v="P042"/>
    <s v="YouTube"/>
    <s v="2025-03-05"/>
    <x v="1"/>
    <s v="Check out our latest reel on youtube!"/>
    <n v="1543"/>
    <n v="820"/>
    <n v="333"/>
    <n v="12344"/>
    <n v="11496"/>
    <n v="241"/>
    <s v="#EVRevolution"/>
    <m/>
    <m/>
    <x v="0"/>
    <n v="0.21840570317563188"/>
    <x v="6"/>
    <m/>
  </r>
  <r>
    <s v="P043"/>
    <s v="Instagram"/>
    <s v="2024-12-14"/>
    <x v="3"/>
    <s v="Check out our latest carousel on instagram!"/>
    <n v="2174"/>
    <n v="658"/>
    <n v="15"/>
    <n v="13044"/>
    <n v="12206"/>
    <n v="137"/>
    <s v="#TeslaCoInnovation"/>
    <m/>
    <m/>
    <x v="2"/>
    <n v="0.21826126954921804"/>
    <x v="6"/>
    <m/>
  </r>
  <r>
    <s v="P159"/>
    <s v="Facebook"/>
    <s v="2024-11-25"/>
    <x v="0"/>
    <s v="Check out our latest story on facebook!"/>
    <n v="2120"/>
    <n v="158"/>
    <n v="488"/>
    <n v="12720"/>
    <n v="12085"/>
    <n v="17"/>
    <s v="#FutureOfDriving"/>
    <m/>
    <m/>
    <x v="3"/>
    <n v="0.21745283018867925"/>
    <x v="6"/>
    <m/>
  </r>
  <r>
    <s v="P146"/>
    <s v="YouTube"/>
    <s v="2024-06-05"/>
    <x v="1"/>
    <s v="Check out our latest reel on youtube!"/>
    <n v="3065"/>
    <n v="772"/>
    <n v="142"/>
    <n v="18390"/>
    <n v="17875"/>
    <n v="200"/>
    <s v="#EVRevolution"/>
    <s v="#AnytimeIsTeslaTime"/>
    <m/>
    <x v="0"/>
    <n v="0.21636759108210984"/>
    <x v="6"/>
    <m/>
  </r>
  <r>
    <s v="P029"/>
    <s v="Instagram"/>
    <s v="2025-01-31"/>
    <x v="3"/>
    <s v="Check out our latest carousel on instagram!"/>
    <n v="2566"/>
    <n v="118"/>
    <n v="37"/>
    <n v="12830"/>
    <n v="12264"/>
    <n v="221"/>
    <s v="#FutureOfDriving"/>
    <m/>
    <m/>
    <x v="2"/>
    <n v="0.21208106001558846"/>
    <x v="6"/>
    <m/>
  </r>
  <r>
    <s v="P137"/>
    <s v="Facebook"/>
    <s v="2024-07-31"/>
    <x v="2"/>
    <s v="Check out our latest video on facebook!"/>
    <n v="3008"/>
    <n v="94"/>
    <n v="37"/>
    <n v="15040"/>
    <n v="14639"/>
    <n v="277"/>
    <s v="#FutureOfDriving"/>
    <m/>
    <m/>
    <x v="0"/>
    <n v="0.20871010638297871"/>
    <x v="6"/>
    <m/>
  </r>
  <r>
    <s v="P087"/>
    <s v="Twitter"/>
    <s v="2024-06-06"/>
    <x v="2"/>
    <s v="Check out our latest video on twitter!"/>
    <n v="1436"/>
    <n v="765"/>
    <n v="496"/>
    <n v="12924"/>
    <n v="12701"/>
    <n v="197"/>
    <s v="#FutureOfDriving"/>
    <m/>
    <m/>
    <x v="2"/>
    <n v="0.20868152274837512"/>
    <x v="6"/>
    <m/>
  </r>
  <r>
    <s v="P271"/>
    <s v="Instagram"/>
    <s v="2024-10-17"/>
    <x v="2"/>
    <s v="Check out our latest video on instagram!"/>
    <n v="3575"/>
    <n v="749"/>
    <n v="111"/>
    <n v="21450"/>
    <n v="20785"/>
    <n v="195"/>
    <s v="#EVRevolution"/>
    <m/>
    <m/>
    <x v="3"/>
    <n v="0.20675990675990677"/>
    <x v="6"/>
    <m/>
  </r>
  <r>
    <s v="P077"/>
    <s v="Facebook"/>
    <s v="2025-03-04"/>
    <x v="0"/>
    <s v="Check out our latest story on facebook!"/>
    <n v="1249"/>
    <n v="116"/>
    <n v="420"/>
    <n v="8743"/>
    <n v="8538"/>
    <n v="63"/>
    <s v="#TeslaCoInnovation"/>
    <m/>
    <m/>
    <x v="0"/>
    <n v="0.20416333066453163"/>
    <x v="6"/>
    <m/>
  </r>
  <r>
    <s v="P136"/>
    <s v="Instagram"/>
    <s v="2024-07-11"/>
    <x v="5"/>
    <s v="Check out our latest text on instagram!"/>
    <n v="3134"/>
    <n v="888"/>
    <n v="444"/>
    <n v="21938"/>
    <n v="21337"/>
    <n v="130"/>
    <s v="#EVRevolution"/>
    <m/>
    <m/>
    <x v="1"/>
    <n v="0.20357370772176134"/>
    <x v="6"/>
    <m/>
  </r>
  <r>
    <s v="P258"/>
    <s v="Instagram"/>
    <s v="2024-08-05"/>
    <x v="0"/>
    <s v="Check out our latest story on instagram!"/>
    <n v="3601"/>
    <n v="695"/>
    <n v="75"/>
    <n v="21606"/>
    <n v="21454"/>
    <n v="172"/>
    <s v="#EVRevolution"/>
    <m/>
    <m/>
    <x v="3"/>
    <n v="0.2023049153013052"/>
    <x v="6"/>
    <m/>
  </r>
  <r>
    <s v="P276"/>
    <s v="Twitter"/>
    <s v="2024-06-07"/>
    <x v="3"/>
    <s v="Check out our latest carousel on twitter!"/>
    <n v="1556"/>
    <n v="195"/>
    <n v="131"/>
    <n v="9336"/>
    <n v="8875"/>
    <n v="137"/>
    <s v="#TeslaCoInnovation"/>
    <m/>
    <m/>
    <x v="3"/>
    <n v="0.2015852613538989"/>
    <x v="6"/>
    <m/>
  </r>
  <r>
    <s v="P148"/>
    <s v="Instagram"/>
    <s v="2025-04-15"/>
    <x v="2"/>
    <s v="Check out our latest video on instagram!"/>
    <n v="4133"/>
    <n v="466"/>
    <n v="327"/>
    <n v="24798"/>
    <n v="24620"/>
    <n v="176"/>
    <s v="#EVRevolution"/>
    <m/>
    <m/>
    <x v="1"/>
    <n v="0.19864505202032423"/>
    <x v="6"/>
    <m/>
  </r>
  <r>
    <s v="P198"/>
    <s v="Twitter"/>
    <s v="2024-09-14"/>
    <x v="4"/>
    <s v="Check out our latest image on twitter!"/>
    <n v="1048"/>
    <n v="374"/>
    <n v="450"/>
    <n v="9432"/>
    <n v="8882"/>
    <n v="158"/>
    <s v="#TeslaCoInnovation"/>
    <m/>
    <m/>
    <x v="2"/>
    <n v="0.19847328244274809"/>
    <x v="6"/>
    <m/>
  </r>
  <r>
    <s v="P152"/>
    <s v="Facebook"/>
    <s v="2025-04-22"/>
    <x v="4"/>
    <s v="Check out our latest image on facebook!"/>
    <n v="4804"/>
    <n v="550"/>
    <n v="270"/>
    <n v="28824"/>
    <n v="28370"/>
    <n v="47"/>
    <s v="#EVRevolution"/>
    <m/>
    <m/>
    <x v="1"/>
    <n v="0.19511518179295032"/>
    <x v="6"/>
    <m/>
  </r>
  <r>
    <s v="P286"/>
    <s v="YouTube"/>
    <s v="2024-09-25"/>
    <x v="2"/>
    <s v="Check out our latest video on youtube!"/>
    <n v="3389"/>
    <n v="344"/>
    <n v="229"/>
    <n v="20334"/>
    <n v="19443"/>
    <n v="228"/>
    <s v="#FutureOfDriving"/>
    <m/>
    <m/>
    <x v="2"/>
    <n v="0.19484607062063539"/>
    <x v="6"/>
    <m/>
  </r>
  <r>
    <s v="P068"/>
    <s v="Instagram"/>
    <s v="2024-12-08"/>
    <x v="0"/>
    <s v="Check out our latest story on instagram!"/>
    <n v="2610"/>
    <n v="126"/>
    <n v="288"/>
    <n v="15660"/>
    <n v="15145"/>
    <n v="73"/>
    <s v="#EVRevolution"/>
    <m/>
    <m/>
    <x v="0"/>
    <n v="0.19310344827586207"/>
    <x v="6"/>
    <m/>
  </r>
  <r>
    <s v="P085"/>
    <s v="Instagram"/>
    <s v="2025-04-19"/>
    <x v="4"/>
    <s v="Check out our latest image on instagram!"/>
    <n v="4177"/>
    <n v="569"/>
    <n v="55"/>
    <n v="25062"/>
    <n v="24847"/>
    <n v="230"/>
    <s v="#FutureOfDriving"/>
    <m/>
    <m/>
    <x v="4"/>
    <n v="0.19156491900087783"/>
    <x v="6"/>
    <m/>
  </r>
  <r>
    <s v="P032"/>
    <s v="Twitter"/>
    <s v="2024-07-31"/>
    <x v="3"/>
    <s v="Check out our latest carousel on twitter!"/>
    <n v="2278"/>
    <n v="10"/>
    <n v="321"/>
    <n v="13668"/>
    <n v="12676"/>
    <n v="275"/>
    <s v="#EVRevolution"/>
    <m/>
    <m/>
    <x v="4"/>
    <n v="0.19088381621305239"/>
    <x v="6"/>
    <m/>
  </r>
  <r>
    <s v="P218"/>
    <s v="Facebook"/>
    <s v="2024-06-11"/>
    <x v="3"/>
    <s v="Check out our latest carousel on facebook!"/>
    <n v="1869"/>
    <n v="453"/>
    <n v="490"/>
    <n v="14952"/>
    <n v="14309"/>
    <n v="275"/>
    <s v="#TeslaCoInnovation"/>
    <m/>
    <m/>
    <x v="1"/>
    <n v="0.18806848582129482"/>
    <x v="6"/>
    <m/>
  </r>
  <r>
    <s v="P211"/>
    <s v="Twitter"/>
    <s v="2024-07-18"/>
    <x v="3"/>
    <s v="Check out our latest carousel on twitter!"/>
    <n v="2120"/>
    <n v="38"/>
    <n v="212"/>
    <n v="12720"/>
    <n v="12564"/>
    <n v="21"/>
    <s v="#FutureOfDriving"/>
    <m/>
    <m/>
    <x v="1"/>
    <n v="0.18632075471698112"/>
    <x v="6"/>
    <m/>
  </r>
  <r>
    <s v="P242"/>
    <s v="Facebook"/>
    <s v="2024-07-07"/>
    <x v="1"/>
    <s v="Check out our latest reel on facebook!"/>
    <n v="4767"/>
    <n v="190"/>
    <n v="340"/>
    <n v="28602"/>
    <n v="28044"/>
    <n v="210"/>
    <s v="#EVRevolution"/>
    <m/>
    <m/>
    <x v="2"/>
    <n v="0.18519683938186141"/>
    <x v="6"/>
    <m/>
  </r>
  <r>
    <s v="P041"/>
    <s v="Instagram"/>
    <s v="2025-03-08"/>
    <x v="1"/>
    <s v="Check out our latest reel on instagram!"/>
    <n v="456"/>
    <n v="629"/>
    <n v="428"/>
    <n v="8208"/>
    <n v="7377"/>
    <n v="205"/>
    <s v="#FutureOfDriving"/>
    <m/>
    <m/>
    <x v="1"/>
    <n v="0.18433235867446393"/>
    <x v="6"/>
    <m/>
  </r>
  <r>
    <s v="P294"/>
    <s v="Facebook"/>
    <s v="2024-06-19"/>
    <x v="3"/>
    <s v="Check out our latest carousel on facebook!"/>
    <n v="4731"/>
    <n v="173"/>
    <n v="276"/>
    <n v="28386"/>
    <n v="28185"/>
    <n v="89"/>
    <s v="#EVRevolution"/>
    <m/>
    <m/>
    <x v="2"/>
    <n v="0.18248432325794406"/>
    <x v="6"/>
    <m/>
  </r>
  <r>
    <s v="P006"/>
    <s v="Facebook"/>
    <s v="2024-10-31"/>
    <x v="3"/>
    <s v="Check out our latest carousel on facebook!"/>
    <n v="2945"/>
    <n v="930"/>
    <n v="355"/>
    <n v="23560"/>
    <n v="23275"/>
    <n v="256"/>
    <s v="#TeslaCoInnovation"/>
    <m/>
    <m/>
    <x v="3"/>
    <n v="0.17954159592529711"/>
    <x v="6"/>
    <m/>
  </r>
  <r>
    <s v="P153"/>
    <s v="Twitter"/>
    <s v="2025-01-01"/>
    <x v="2"/>
    <s v="Check out our latest video on twitter!"/>
    <n v="754"/>
    <n v="197"/>
    <n v="257"/>
    <n v="6786"/>
    <n v="6221"/>
    <n v="212"/>
    <s v="#TeslaCoInnovation"/>
    <m/>
    <m/>
    <x v="2"/>
    <n v="0.17801355732390214"/>
    <x v="6"/>
    <m/>
  </r>
  <r>
    <s v="P037"/>
    <s v="Facebook"/>
    <s v="2025-01-06"/>
    <x v="3"/>
    <s v="Check out our latest carousel on facebook!"/>
    <n v="3024"/>
    <n v="925"/>
    <n v="350"/>
    <n v="24192"/>
    <n v="23518"/>
    <n v="36"/>
    <s v="#EVRevolution"/>
    <m/>
    <m/>
    <x v="3"/>
    <n v="0.17770337301587302"/>
    <x v="6"/>
    <m/>
  </r>
  <r>
    <s v="P241"/>
    <s v="Facebook"/>
    <s v="2025-01-18"/>
    <x v="0"/>
    <s v="Check out our latest story on facebook!"/>
    <n v="4321"/>
    <n v="874"/>
    <n v="172"/>
    <n v="30247"/>
    <n v="29254"/>
    <n v="122"/>
    <s v="#TeslaCoInnovation"/>
    <m/>
    <m/>
    <x v="1"/>
    <n v="0.17743908486792079"/>
    <x v="6"/>
    <m/>
  </r>
  <r>
    <s v="P112"/>
    <s v="Twitter"/>
    <s v="2024-10-05"/>
    <x v="0"/>
    <s v="Check out our latest story on twitter!"/>
    <n v="1957"/>
    <n v="877"/>
    <n v="238"/>
    <n v="17613"/>
    <n v="16865"/>
    <n v="297"/>
    <s v="#FutureOfDriving"/>
    <m/>
    <m/>
    <x v="2"/>
    <n v="0.17441662408448305"/>
    <x v="6"/>
    <m/>
  </r>
  <r>
    <s v="P129"/>
    <s v="Twitter"/>
    <s v="2024-07-21"/>
    <x v="5"/>
    <s v="Check out our latest text on twitter!"/>
    <n v="2147"/>
    <n v="430"/>
    <n v="393"/>
    <n v="17176"/>
    <n v="16483"/>
    <n v="170"/>
    <s v="#TeslaCoInnovation"/>
    <m/>
    <m/>
    <x v="0"/>
    <n v="0.17291569632044715"/>
    <x v="6"/>
    <m/>
  </r>
  <r>
    <s v="P028"/>
    <s v="Instagram"/>
    <s v="2025-03-04"/>
    <x v="2"/>
    <s v="Check out our latest video on instagram!"/>
    <n v="432"/>
    <n v="624"/>
    <n v="123"/>
    <n v="6912"/>
    <n v="6259"/>
    <n v="79"/>
    <s v="#FutureOfDriving"/>
    <m/>
    <m/>
    <x v="1"/>
    <n v="0.17057291666666666"/>
    <x v="6"/>
    <m/>
  </r>
  <r>
    <s v="P046"/>
    <s v="Twitter"/>
    <s v="2025-05-02"/>
    <x v="2"/>
    <s v="Check out our latest video on twitter!"/>
    <n v="1108"/>
    <n v="177"/>
    <n v="212"/>
    <n v="8864"/>
    <n v="8710"/>
    <n v="97"/>
    <s v="#TeslaCoInnovation"/>
    <m/>
    <m/>
    <x v="1"/>
    <n v="0.16888537906137185"/>
    <x v="6"/>
    <m/>
  </r>
  <r>
    <s v="P089"/>
    <s v="Twitter"/>
    <s v="2025-01-10"/>
    <x v="4"/>
    <s v="Check out our latest image on twitter!"/>
    <n v="2214"/>
    <n v="249"/>
    <n v="152"/>
    <n v="15498"/>
    <n v="14800"/>
    <n v="180"/>
    <s v="#EVRevolution"/>
    <m/>
    <m/>
    <x v="0"/>
    <n v="0.16873144921925409"/>
    <x v="6"/>
    <m/>
  </r>
  <r>
    <s v="P094"/>
    <s v="Instagram"/>
    <s v="2024-11-07"/>
    <x v="4"/>
    <s v="Check out our latest image on instagram!"/>
    <n v="2647"/>
    <n v="304"/>
    <n v="170"/>
    <n v="18529"/>
    <n v="17841"/>
    <n v="46"/>
    <s v="#FutureOfDriving"/>
    <m/>
    <m/>
    <x v="2"/>
    <n v="0.16843866371633656"/>
    <x v="6"/>
    <m/>
  </r>
  <r>
    <s v="P116"/>
    <s v="YouTube"/>
    <s v="2025-03-18"/>
    <x v="1"/>
    <s v="Check out our latest reel on youtube!"/>
    <n v="3704"/>
    <n v="186"/>
    <n v="458"/>
    <n v="25928"/>
    <n v="25081"/>
    <n v="131"/>
    <s v="#TeslaCoInnovation"/>
    <m/>
    <m/>
    <x v="0"/>
    <n v="0.16769515581610614"/>
    <x v="6"/>
    <m/>
  </r>
  <r>
    <s v="P275"/>
    <s v="Facebook"/>
    <s v="2024-08-05"/>
    <x v="1"/>
    <s v="Check out our latest reel on facebook!"/>
    <n v="1741"/>
    <n v="831"/>
    <n v="345"/>
    <n v="17410"/>
    <n v="16844"/>
    <n v="58"/>
    <s v="#EVRevolution"/>
    <m/>
    <m/>
    <x v="2"/>
    <n v="0.16754738655944859"/>
    <x v="6"/>
    <m/>
  </r>
  <r>
    <s v="P109"/>
    <s v="Twitter"/>
    <s v="2024-08-08"/>
    <x v="0"/>
    <s v="Check out our latest story on twitter!"/>
    <n v="3649"/>
    <n v="215"/>
    <n v="413"/>
    <n v="25543"/>
    <n v="24963"/>
    <n v="167"/>
    <s v="#FutureOfDriving"/>
    <m/>
    <m/>
    <x v="2"/>
    <n v="0.16744313510550835"/>
    <x v="6"/>
    <m/>
  </r>
  <r>
    <s v="P047"/>
    <s v="Twitter"/>
    <s v="2025-02-24"/>
    <x v="3"/>
    <s v="Check out our latest carousel on twitter!"/>
    <n v="2704"/>
    <n v="752"/>
    <n v="153"/>
    <n v="21632"/>
    <n v="20792"/>
    <n v="127"/>
    <s v="#FutureOfDriving"/>
    <m/>
    <m/>
    <x v="0"/>
    <n v="0.16683616863905326"/>
    <x v="6"/>
    <m/>
  </r>
  <r>
    <s v="P295"/>
    <s v="Twitter"/>
    <s v="2025-05-06"/>
    <x v="4"/>
    <s v="Check out our latest image on twitter!"/>
    <n v="1952"/>
    <n v="344"/>
    <n v="287"/>
    <n v="15616"/>
    <n v="15403"/>
    <n v="235"/>
    <s v="#FutureOfDriving"/>
    <s v="#TeslaCoInnovation"/>
    <s v="#AnytimeIsTeslaTime"/>
    <x v="3"/>
    <n v="0.16540727459016394"/>
    <x v="6"/>
    <m/>
  </r>
  <r>
    <s v="P054"/>
    <s v="YouTube"/>
    <s v="2025-03-13"/>
    <x v="3"/>
    <s v="Check out our latest carousel on youtube!"/>
    <n v="1686"/>
    <n v="904"/>
    <n v="472"/>
    <n v="18546"/>
    <n v="18171"/>
    <n v="52"/>
    <s v="#FutureOfDriving"/>
    <m/>
    <m/>
    <x v="3"/>
    <n v="0.16510298716704411"/>
    <x v="6"/>
    <m/>
  </r>
  <r>
    <s v="P060"/>
    <s v="Instagram"/>
    <s v="2025-01-28"/>
    <x v="2"/>
    <s v="Check out our latest video on instagram!"/>
    <n v="904"/>
    <n v="973"/>
    <n v="63"/>
    <n v="11752"/>
    <n v="11580"/>
    <n v="84"/>
    <s v="#EVRevolution"/>
    <s v="#TeslaCoInnovation"/>
    <s v="#AnytimeIsTeslaTime"/>
    <x v="2"/>
    <n v="0.1650782845473111"/>
    <x v="6"/>
    <m/>
  </r>
  <r>
    <s v="P083"/>
    <s v="YouTube"/>
    <s v="2024-10-15"/>
    <x v="2"/>
    <s v="Check out our latest video on youtube!"/>
    <n v="1094"/>
    <n v="472"/>
    <n v="21"/>
    <n v="9846"/>
    <n v="9609"/>
    <n v="112"/>
    <s v="#EVRevolution"/>
    <m/>
    <m/>
    <x v="0"/>
    <n v="0.16118220597196831"/>
    <x v="6"/>
    <m/>
  </r>
  <r>
    <s v="P138"/>
    <s v="Twitter"/>
    <s v="2025-03-29"/>
    <x v="4"/>
    <s v="Check out our latest image on twitter!"/>
    <n v="305"/>
    <n v="187"/>
    <n v="243"/>
    <n v="4575"/>
    <n v="3704"/>
    <n v="234"/>
    <s v="#FutureOfDriving"/>
    <m/>
    <m/>
    <x v="2"/>
    <n v="0.16065573770491803"/>
    <x v="6"/>
    <m/>
  </r>
  <r>
    <s v="P221"/>
    <s v="Facebook"/>
    <s v="2025-03-23"/>
    <x v="2"/>
    <s v="Check out our latest video on facebook!"/>
    <n v="4453"/>
    <n v="111"/>
    <n v="420"/>
    <n v="31171"/>
    <n v="30565"/>
    <n v="23"/>
    <s v="#TeslaCoInnovation"/>
    <m/>
    <m/>
    <x v="0"/>
    <n v="0.15989220750056141"/>
    <x v="6"/>
    <m/>
  </r>
  <r>
    <s v="P252"/>
    <s v="Facebook"/>
    <s v="2025-04-28"/>
    <x v="3"/>
    <s v="Check out our latest carousel on facebook!"/>
    <n v="2089"/>
    <n v="476"/>
    <n v="69"/>
    <n v="16712"/>
    <n v="16309"/>
    <n v="64"/>
    <s v="#FutureOfDriving"/>
    <m/>
    <m/>
    <x v="2"/>
    <n v="0.15761129727142173"/>
    <x v="6"/>
    <m/>
  </r>
  <r>
    <s v="P052"/>
    <s v="Facebook"/>
    <s v="2025-01-03"/>
    <x v="4"/>
    <s v="Check out our latest image on facebook!"/>
    <n v="947"/>
    <n v="338"/>
    <n v="350"/>
    <n v="10417"/>
    <n v="9730"/>
    <n v="34"/>
    <s v="#TeslaCoInnovation"/>
    <m/>
    <m/>
    <x v="1"/>
    <n v="0.1569549774407219"/>
    <x v="6"/>
    <m/>
  </r>
  <r>
    <s v="P140"/>
    <s v="Facebook"/>
    <s v="2024-07-15"/>
    <x v="4"/>
    <s v="Check out our latest image on facebook!"/>
    <n v="2291"/>
    <n v="78"/>
    <n v="485"/>
    <n v="18328"/>
    <n v="18101"/>
    <n v="10"/>
    <s v="#EVRevolution"/>
    <s v="#SmoothLikeNitroTesla"/>
    <m/>
    <x v="3"/>
    <n v="0.15571802706241816"/>
    <x v="6"/>
    <m/>
  </r>
  <r>
    <s v="P165"/>
    <s v="Twitter"/>
    <s v="2024-12-11"/>
    <x v="5"/>
    <s v="Check out our latest text on twitter!"/>
    <n v="3239"/>
    <n v="43"/>
    <n v="211"/>
    <n v="22673"/>
    <n v="22171"/>
    <n v="230"/>
    <s v="#TeslaCoInnovation"/>
    <m/>
    <m/>
    <x v="3"/>
    <n v="0.15405989502933004"/>
    <x v="6"/>
    <m/>
  </r>
  <r>
    <s v="P164"/>
    <s v="YouTube"/>
    <s v="2025-02-27"/>
    <x v="5"/>
    <s v="Check out our latest text on youtube!"/>
    <n v="4934"/>
    <n v="971"/>
    <n v="156"/>
    <n v="39472"/>
    <n v="39025"/>
    <n v="169"/>
    <s v="#TeslaCoInnovation"/>
    <s v="#AnytimeIsTeslaTime"/>
    <m/>
    <x v="1"/>
    <n v="0.15355188488042157"/>
    <x v="6"/>
    <m/>
  </r>
  <r>
    <s v="P262"/>
    <s v="YouTube"/>
    <s v="2025-01-18"/>
    <x v="4"/>
    <s v="Check out our latest image on youtube!"/>
    <n v="1206"/>
    <n v="238"/>
    <n v="36"/>
    <n v="9648"/>
    <n v="9417"/>
    <n v="237"/>
    <s v="#TeslaCoInnovation"/>
    <m/>
    <m/>
    <x v="0"/>
    <n v="0.15339966832504145"/>
    <x v="6"/>
    <m/>
  </r>
  <r>
    <s v="P147"/>
    <s v="Instagram"/>
    <s v="2024-10-21"/>
    <x v="1"/>
    <s v="Check out our latest reel on instagram!"/>
    <n v="3256"/>
    <n v="459"/>
    <n v="266"/>
    <n v="26048"/>
    <n v="25529"/>
    <n v="143"/>
    <s v="#TeslaCoInnovation"/>
    <m/>
    <m/>
    <x v="3"/>
    <n v="0.15283323095823095"/>
    <x v="6"/>
    <m/>
  </r>
  <r>
    <s v="P004"/>
    <s v="Instagram"/>
    <s v="2024-08-12"/>
    <x v="0"/>
    <s v="Check out our latest story on instagram!"/>
    <n v="2404"/>
    <n v="363"/>
    <n v="138"/>
    <n v="19232"/>
    <n v="18636"/>
    <n v="128"/>
    <s v="#EVRevolution"/>
    <m/>
    <m/>
    <x v="1"/>
    <n v="0.15105033277870217"/>
    <x v="6"/>
    <m/>
  </r>
  <r>
    <s v="P014"/>
    <s v="Facebook"/>
    <s v="2025-02-16"/>
    <x v="0"/>
    <s v="Check out our latest story on facebook!"/>
    <n v="4242"/>
    <n v="555"/>
    <n v="131"/>
    <n v="33936"/>
    <n v="33802"/>
    <n v="265"/>
    <s v="#FutureOfDriving"/>
    <m/>
    <m/>
    <x v="0"/>
    <n v="0.14521452145214522"/>
    <x v="6"/>
    <m/>
  </r>
  <r>
    <s v="P192"/>
    <s v="Instagram"/>
    <s v="2024-11-29"/>
    <x v="2"/>
    <s v="Check out our latest video on instagram!"/>
    <n v="1176"/>
    <n v="464"/>
    <n v="394"/>
    <n v="14112"/>
    <n v="13588"/>
    <n v="272"/>
    <s v="#EVRevolution"/>
    <m/>
    <m/>
    <x v="0"/>
    <n v="0.1441326530612245"/>
    <x v="6"/>
    <m/>
  </r>
  <r>
    <s v="P173"/>
    <s v="Twitter"/>
    <s v="2024-12-05"/>
    <x v="2"/>
    <s v="Check out our latest video on twitter!"/>
    <n v="1330"/>
    <n v="925"/>
    <n v="35"/>
    <n v="15960"/>
    <n v="15379"/>
    <n v="229"/>
    <s v="#FutureOfDriving"/>
    <m/>
    <m/>
    <x v="2"/>
    <n v="0.14348370927318296"/>
    <x v="6"/>
    <m/>
  </r>
  <r>
    <s v="P166"/>
    <s v="Twitter"/>
    <s v="2025-02-16"/>
    <x v="1"/>
    <s v="Check out our latest reel on twitter!"/>
    <n v="1076"/>
    <n v="313"/>
    <n v="306"/>
    <n v="11836"/>
    <n v="11596"/>
    <n v="104"/>
    <s v="#FutureOfDriving"/>
    <m/>
    <m/>
    <x v="4"/>
    <n v="0.14320716458262928"/>
    <x v="6"/>
    <m/>
  </r>
  <r>
    <s v="P207"/>
    <s v="Twitter"/>
    <s v="2024-12-29"/>
    <x v="3"/>
    <s v="Check out our latest carousel on twitter!"/>
    <n v="4274"/>
    <n v="340"/>
    <n v="281"/>
    <n v="34192"/>
    <n v="33446"/>
    <n v="129"/>
    <s v="#TeslaCoInnovation"/>
    <s v="#SmoothLikeNitroTesla"/>
    <m/>
    <x v="2"/>
    <n v="0.14316214319138981"/>
    <x v="6"/>
    <m/>
  </r>
  <r>
    <s v="P061"/>
    <s v="Twitter"/>
    <s v="2024-09-05"/>
    <x v="2"/>
    <s v="Check out our latest video on twitter!"/>
    <n v="4886"/>
    <n v="983"/>
    <n v="409"/>
    <n v="43974"/>
    <n v="43239"/>
    <n v="65"/>
    <s v="#TeslaCoInnovation"/>
    <m/>
    <m/>
    <x v="4"/>
    <n v="0.14276618001546368"/>
    <x v="6"/>
    <m/>
  </r>
  <r>
    <s v="P125"/>
    <s v="Twitter"/>
    <s v="2024-09-08"/>
    <x v="3"/>
    <s v="Check out our latest carousel on twitter!"/>
    <n v="3811"/>
    <n v="866"/>
    <n v="216"/>
    <n v="34299"/>
    <n v="34088"/>
    <n v="233"/>
    <s v="#TeslaCoInnovation"/>
    <m/>
    <m/>
    <x v="1"/>
    <n v="0.14265722032712325"/>
    <x v="6"/>
    <m/>
  </r>
  <r>
    <s v="P272"/>
    <s v="Instagram"/>
    <s v="2025-03-27"/>
    <x v="5"/>
    <s v="Check out our latest text on instagram!"/>
    <n v="4941"/>
    <n v="414"/>
    <n v="266"/>
    <n v="39528"/>
    <n v="39154"/>
    <n v="217"/>
    <s v="#TeslaCoInnovation"/>
    <m/>
    <m/>
    <x v="2"/>
    <n v="0.14220299534507186"/>
    <x v="6"/>
    <m/>
  </r>
  <r>
    <s v="P040"/>
    <s v="Twitter"/>
    <s v="2025-03-07"/>
    <x v="4"/>
    <s v="Check out our latest image on twitter!"/>
    <n v="4750"/>
    <n v="151"/>
    <n v="415"/>
    <n v="38000"/>
    <n v="37792"/>
    <n v="299"/>
    <s v="#EVRevolution"/>
    <m/>
    <m/>
    <x v="1"/>
    <n v="0.13989473684210527"/>
    <x v="6"/>
    <m/>
  </r>
  <r>
    <s v="P299"/>
    <s v="Facebook"/>
    <s v="2024-08-26"/>
    <x v="4"/>
    <s v="Check out our latest image on facebook!"/>
    <n v="2581"/>
    <n v="517"/>
    <n v="117"/>
    <n v="23229"/>
    <n v="22331"/>
    <n v="70"/>
    <s v="#FutureOfDriving"/>
    <m/>
    <m/>
    <x v="2"/>
    <n v="0.13840458048129492"/>
    <x v="6"/>
    <m/>
  </r>
  <r>
    <s v="P174"/>
    <s v="Facebook"/>
    <s v="2024-06-22"/>
    <x v="5"/>
    <s v="Check out our latest text on facebook!"/>
    <n v="3828"/>
    <n v="148"/>
    <n v="253"/>
    <n v="30624"/>
    <n v="30229"/>
    <n v="235"/>
    <s v="#EVRevolution"/>
    <m/>
    <m/>
    <x v="0"/>
    <n v="0.13809430512016718"/>
    <x v="6"/>
    <m/>
  </r>
  <r>
    <s v="P104"/>
    <s v="YouTube"/>
    <s v="2025-03-23"/>
    <x v="0"/>
    <s v="Check out our latest story on youtube!"/>
    <n v="3655"/>
    <n v="568"/>
    <n v="286"/>
    <n v="32895"/>
    <n v="32015"/>
    <n v="199"/>
    <s v="#TeslaCoInnovation"/>
    <m/>
    <m/>
    <x v="2"/>
    <n v="0.13707250341997265"/>
    <x v="6"/>
    <m/>
  </r>
  <r>
    <s v="P195"/>
    <s v="Instagram"/>
    <s v="2024-08-15"/>
    <x v="3"/>
    <s v="Check out our latest carousel on instagram!"/>
    <n v="914"/>
    <n v="464"/>
    <n v="246"/>
    <n v="11882"/>
    <n v="11500"/>
    <n v="282"/>
    <s v="#FutureOfDriving"/>
    <s v="#TeslaCoInnovation"/>
    <s v="#AnytimeIsTeslaTime"/>
    <x v="1"/>
    <n v="0.13667732704931829"/>
    <x v="6"/>
    <m/>
  </r>
  <r>
    <s v="P184"/>
    <s v="Twitter"/>
    <s v="2024-07-28"/>
    <x v="4"/>
    <s v="Check out our latest image on twitter!"/>
    <n v="3215"/>
    <n v="960"/>
    <n v="202"/>
    <n v="32150"/>
    <n v="31404"/>
    <n v="251"/>
    <s v="#EVRevolution"/>
    <m/>
    <m/>
    <x v="4"/>
    <n v="0.13614307931570763"/>
    <x v="6"/>
    <m/>
  </r>
  <r>
    <s v="P092"/>
    <s v="Twitter"/>
    <s v="2024-10-21"/>
    <x v="0"/>
    <s v="Check out our latest story on twitter!"/>
    <n v="3801"/>
    <n v="967"/>
    <n v="401"/>
    <n v="38010"/>
    <n v="37625"/>
    <n v="236"/>
    <s v="#FutureOfDriving"/>
    <m/>
    <m/>
    <x v="2"/>
    <n v="0.13599052880820836"/>
    <x v="6"/>
    <m/>
  </r>
  <r>
    <s v="P088"/>
    <s v="Facebook"/>
    <s v="2024-07-07"/>
    <x v="0"/>
    <s v="Check out our latest story on facebook!"/>
    <n v="302"/>
    <n v="47"/>
    <n v="430"/>
    <n v="5738"/>
    <n v="4890"/>
    <n v="25"/>
    <s v="#TeslaCoInnovation"/>
    <m/>
    <m/>
    <x v="1"/>
    <n v="0.13576158940397351"/>
    <x v="6"/>
    <m/>
  </r>
  <r>
    <s v="P285"/>
    <s v="YouTube"/>
    <s v="2024-07-18"/>
    <x v="5"/>
    <s v="Check out our latest text on youtube!"/>
    <n v="4021"/>
    <n v="794"/>
    <n v="77"/>
    <n v="36189"/>
    <n v="35505"/>
    <n v="174"/>
    <s v="#EVRevolution"/>
    <m/>
    <m/>
    <x v="0"/>
    <n v="0.13517919809886983"/>
    <x v="6"/>
    <m/>
  </r>
  <r>
    <s v="P050"/>
    <s v="YouTube"/>
    <s v="2024-07-03"/>
    <x v="0"/>
    <s v="Check out our latest story on youtube!"/>
    <n v="2754"/>
    <n v="130"/>
    <n v="90"/>
    <n v="22032"/>
    <n v="21288"/>
    <n v="112"/>
    <s v="#TeslaCoInnovation"/>
    <m/>
    <m/>
    <x v="2"/>
    <n v="0.13498547567175018"/>
    <x v="6"/>
    <m/>
  </r>
  <r>
    <s v="P132"/>
    <s v="Instagram"/>
    <s v="2025-03-04"/>
    <x v="0"/>
    <s v="Check out our latest story on instagram!"/>
    <n v="1947"/>
    <n v="842"/>
    <n v="101"/>
    <n v="21417"/>
    <n v="20967"/>
    <n v="186"/>
    <s v="#FutureOfDriving"/>
    <m/>
    <m/>
    <x v="3"/>
    <n v="0.13493953401503478"/>
    <x v="6"/>
    <m/>
  </r>
  <r>
    <s v="P229"/>
    <s v="Instagram"/>
    <s v="2024-07-03"/>
    <x v="3"/>
    <s v="Check out our latest carousel on instagram!"/>
    <n v="4799"/>
    <n v="694"/>
    <n v="289"/>
    <n v="43191"/>
    <n v="42228"/>
    <n v="118"/>
    <s v="#TeslaCoInnovation"/>
    <m/>
    <m/>
    <x v="0"/>
    <n v="0.13387048227640017"/>
    <x v="6"/>
    <m/>
  </r>
  <r>
    <s v="P074"/>
    <s v="YouTube"/>
    <s v="2024-10-28"/>
    <x v="1"/>
    <s v="Check out our latest reel on youtube!"/>
    <n v="1855"/>
    <n v="200"/>
    <n v="174"/>
    <n v="16695"/>
    <n v="16330"/>
    <n v="123"/>
    <s v="#TeslaCoInnovation"/>
    <m/>
    <m/>
    <x v="2"/>
    <n v="0.13351302785265048"/>
    <x v="6"/>
    <m/>
  </r>
  <r>
    <s v="P254"/>
    <s v="Twitter"/>
    <s v="2025-01-14"/>
    <x v="4"/>
    <s v="Check out our latest image on twitter!"/>
    <n v="2692"/>
    <n v="115"/>
    <n v="64"/>
    <n v="21536"/>
    <n v="21120"/>
    <n v="224"/>
    <s v="#FutureOfDriving"/>
    <m/>
    <m/>
    <x v="3"/>
    <n v="0.13331166419019316"/>
    <x v="6"/>
    <m/>
  </r>
  <r>
    <s v="P131"/>
    <s v="Instagram"/>
    <s v="2024-10-21"/>
    <x v="1"/>
    <s v="Check out our latest reel on instagram!"/>
    <n v="4840"/>
    <n v="658"/>
    <n v="211"/>
    <n v="43560"/>
    <n v="43225"/>
    <n v="57"/>
    <s v="#FutureOfDriving"/>
    <m/>
    <m/>
    <x v="2"/>
    <n v="0.13106060606060607"/>
    <x v="6"/>
    <m/>
  </r>
  <r>
    <s v="P236"/>
    <s v="Facebook"/>
    <s v="2024-08-19"/>
    <x v="5"/>
    <s v="Check out our latest text on facebook!"/>
    <n v="1257"/>
    <n v="19"/>
    <n v="351"/>
    <n v="12570"/>
    <n v="11660"/>
    <n v="194"/>
    <s v="#FutureOfDriving"/>
    <s v="#AnytimeIsTeslaTime"/>
    <s v="#EVRevolution"/>
    <x v="3"/>
    <n v="0.12943516308671441"/>
    <x v="6"/>
    <m/>
  </r>
  <r>
    <s v="P114"/>
    <s v="Twitter"/>
    <s v="2024-11-14"/>
    <x v="0"/>
    <s v="Check out our latest story on twitter!"/>
    <n v="4000"/>
    <n v="689"/>
    <n v="488"/>
    <n v="40000"/>
    <n v="39569"/>
    <n v="44"/>
    <s v="#FutureOfDriving"/>
    <m/>
    <m/>
    <x v="4"/>
    <n v="0.12942500000000001"/>
    <x v="6"/>
    <m/>
  </r>
  <r>
    <s v="P056"/>
    <s v="Facebook"/>
    <s v="2024-12-18"/>
    <x v="3"/>
    <s v="Check out our latest carousel on facebook!"/>
    <n v="2946"/>
    <n v="498"/>
    <n v="367"/>
    <n v="29460"/>
    <n v="28527"/>
    <n v="60"/>
    <s v="#FutureOfDriving"/>
    <m/>
    <m/>
    <x v="2"/>
    <n v="0.12936184657162253"/>
    <x v="6"/>
    <m/>
  </r>
  <r>
    <s v="P105"/>
    <s v="Instagram"/>
    <s v="2024-06-14"/>
    <x v="3"/>
    <s v="Check out our latest carousel on instagram!"/>
    <n v="498"/>
    <n v="38"/>
    <n v="42"/>
    <n v="4482"/>
    <n v="3647"/>
    <n v="32"/>
    <s v="#FutureOfDriving"/>
    <m/>
    <m/>
    <x v="4"/>
    <n v="0.12896028558679162"/>
    <x v="6"/>
    <m/>
  </r>
  <r>
    <s v="P012"/>
    <s v="Facebook"/>
    <s v="2024-07-21"/>
    <x v="1"/>
    <s v="Check out our latest reel on facebook!"/>
    <n v="1946"/>
    <n v="686"/>
    <n v="377"/>
    <n v="23352"/>
    <n v="22982"/>
    <n v="213"/>
    <s v="#FutureOfDriving"/>
    <m/>
    <m/>
    <x v="2"/>
    <n v="0.12885405960945528"/>
    <x v="6"/>
    <m/>
  </r>
  <r>
    <s v="P235"/>
    <s v="Facebook"/>
    <s v="2024-12-22"/>
    <x v="4"/>
    <s v="Check out our latest image on facebook!"/>
    <n v="3196"/>
    <n v="941"/>
    <n v="376"/>
    <n v="35156"/>
    <n v="34444"/>
    <n v="241"/>
    <s v="#TeslaCoInnovation"/>
    <m/>
    <m/>
    <x v="2"/>
    <n v="0.1283706906360223"/>
    <x v="6"/>
    <m/>
  </r>
  <r>
    <s v="P033"/>
    <s v="Facebook"/>
    <s v="2024-08-21"/>
    <x v="4"/>
    <s v="Check out our latest image on facebook!"/>
    <n v="1407"/>
    <n v="400"/>
    <n v="351"/>
    <n v="16884"/>
    <n v="15954"/>
    <n v="113"/>
    <s v="#TeslaCoInnovation"/>
    <m/>
    <m/>
    <x v="4"/>
    <n v="0.12781331438047855"/>
    <x v="6"/>
    <m/>
  </r>
  <r>
    <s v="P038"/>
    <s v="YouTube"/>
    <s v="2025-02-17"/>
    <x v="1"/>
    <s v="Check out our latest reel on youtube!"/>
    <n v="3138"/>
    <n v="123"/>
    <n v="291"/>
    <n v="28242"/>
    <n v="27550"/>
    <n v="87"/>
    <s v="#TeslaCoInnovation"/>
    <m/>
    <m/>
    <x v="1"/>
    <n v="0.12577012959422137"/>
    <x v="6"/>
    <m/>
  </r>
  <r>
    <s v="P196"/>
    <s v="Instagram"/>
    <s v="2024-12-19"/>
    <x v="5"/>
    <s v="Check out our latest text on instagram!"/>
    <n v="1813"/>
    <n v="623"/>
    <n v="72"/>
    <n v="19943"/>
    <n v="18959"/>
    <n v="85"/>
    <s v="#EVRevolution"/>
    <m/>
    <m/>
    <x v="2"/>
    <n v="0.12575841147269717"/>
    <x v="6"/>
    <m/>
  </r>
  <r>
    <s v="P128"/>
    <s v="Twitter"/>
    <s v="2025-01-10"/>
    <x v="4"/>
    <s v="Check out our latest image on twitter!"/>
    <n v="3092"/>
    <n v="106"/>
    <n v="291"/>
    <n v="27828"/>
    <n v="27217"/>
    <n v="102"/>
    <s v="#FutureOfDriving"/>
    <m/>
    <m/>
    <x v="0"/>
    <n v="0.12537731780940059"/>
    <x v="6"/>
    <m/>
  </r>
  <r>
    <s v="P169"/>
    <s v="YouTube"/>
    <s v="2024-12-03"/>
    <x v="2"/>
    <s v="Check out our latest video on youtube!"/>
    <n v="3809"/>
    <n v="273"/>
    <n v="200"/>
    <n v="34281"/>
    <n v="33534"/>
    <n v="83"/>
    <s v="#EVRevolution"/>
    <m/>
    <m/>
    <x v="4"/>
    <n v="0.12490884163239112"/>
    <x v="6"/>
    <m/>
  </r>
  <r>
    <s v="P293"/>
    <s v="Facebook"/>
    <s v="2025-05-14"/>
    <x v="5"/>
    <s v="Check out our latest text on facebook!"/>
    <n v="2634"/>
    <n v="726"/>
    <n v="241"/>
    <n v="28974"/>
    <n v="28102"/>
    <n v="277"/>
    <s v="#EVRevolution"/>
    <m/>
    <m/>
    <x v="4"/>
    <n v="0.12428384068475185"/>
    <x v="6"/>
    <m/>
  </r>
  <r>
    <s v="P292"/>
    <s v="Facebook"/>
    <s v="2024-11-17"/>
    <x v="5"/>
    <s v="Check out our latest text on facebook!"/>
    <n v="880"/>
    <n v="297"/>
    <n v="345"/>
    <n v="12320"/>
    <n v="11978"/>
    <n v="238"/>
    <s v="#TeslaCoInnovation"/>
    <s v="#AnytimeIsTeslaTime"/>
    <m/>
    <x v="0"/>
    <n v="0.12353896103896105"/>
    <x v="6"/>
    <m/>
  </r>
  <r>
    <s v="P212"/>
    <s v="YouTube"/>
    <s v="2025-03-03"/>
    <x v="2"/>
    <s v="Check out our latest video on youtube!"/>
    <n v="3874"/>
    <n v="884"/>
    <n v="19"/>
    <n v="38740"/>
    <n v="38552"/>
    <n v="219"/>
    <s v="#TeslaCoInnovation"/>
    <m/>
    <m/>
    <x v="3"/>
    <n v="0.123309241094476"/>
    <x v="6"/>
    <m/>
  </r>
  <r>
    <s v="P110"/>
    <s v="Instagram"/>
    <s v="2024-07-29"/>
    <x v="1"/>
    <s v="Check out our latest reel on instagram!"/>
    <n v="3523"/>
    <n v="753"/>
    <n v="482"/>
    <n v="38753"/>
    <n v="38579"/>
    <n v="270"/>
    <s v="#EVRevolution"/>
    <m/>
    <m/>
    <x v="3"/>
    <n v="0.12277759141227776"/>
    <x v="6"/>
    <m/>
  </r>
  <r>
    <s v="P245"/>
    <s v="Facebook"/>
    <s v="2025-01-12"/>
    <x v="1"/>
    <s v="Check out our latest reel on facebook!"/>
    <n v="4134"/>
    <n v="824"/>
    <n v="99"/>
    <n v="41340"/>
    <n v="41050"/>
    <n v="177"/>
    <s v="#EVRevolution"/>
    <m/>
    <m/>
    <x v="4"/>
    <n v="0.12232704402515723"/>
    <x v="6"/>
    <m/>
  </r>
  <r>
    <s v="P075"/>
    <s v="Instagram"/>
    <s v="2024-08-01"/>
    <x v="1"/>
    <s v="Check out our latest reel on instagram!"/>
    <n v="1674"/>
    <n v="929"/>
    <n v="37"/>
    <n v="21762"/>
    <n v="20998"/>
    <n v="255"/>
    <s v="#TeslaCoInnovation"/>
    <m/>
    <m/>
    <x v="1"/>
    <n v="0.12131237937689551"/>
    <x v="6"/>
    <m/>
  </r>
  <r>
    <s v="P255"/>
    <s v="Facebook"/>
    <s v="2025-04-03"/>
    <x v="0"/>
    <s v="Check out our latest story on facebook!"/>
    <n v="3767"/>
    <n v="514"/>
    <n v="238"/>
    <n v="37670"/>
    <n v="36807"/>
    <n v="226"/>
    <s v="#FutureOfDriving"/>
    <m/>
    <m/>
    <x v="1"/>
    <n v="0.11996283514733209"/>
    <x v="6"/>
    <m/>
  </r>
  <r>
    <s v="P071"/>
    <s v="YouTube"/>
    <s v="2024-09-02"/>
    <x v="3"/>
    <s v="Check out our latest carousel on youtube!"/>
    <n v="2551"/>
    <n v="915"/>
    <n v="205"/>
    <n v="30612"/>
    <n v="30360"/>
    <n v="227"/>
    <s v="#TeslaCoInnovation"/>
    <m/>
    <m/>
    <x v="3"/>
    <n v="0.1199202926956749"/>
    <x v="6"/>
    <m/>
  </r>
  <r>
    <s v="P065"/>
    <s v="Instagram"/>
    <s v="2025-03-28"/>
    <x v="0"/>
    <s v="Check out our latest story on instagram!"/>
    <n v="1881"/>
    <n v="501"/>
    <n v="99"/>
    <n v="20691"/>
    <n v="19987"/>
    <n v="289"/>
    <s v="#EVRevolution"/>
    <m/>
    <m/>
    <x v="0"/>
    <n v="0.11990720603160794"/>
    <x v="6"/>
    <m/>
  </r>
  <r>
    <s v="P247"/>
    <s v="Facebook"/>
    <s v="2024-08-27"/>
    <x v="1"/>
    <s v="Check out our latest reel on facebook!"/>
    <n v="3960"/>
    <n v="266"/>
    <n v="8"/>
    <n v="35640"/>
    <n v="34850"/>
    <n v="208"/>
    <s v="#FutureOfDriving"/>
    <s v="#EVRevolution"/>
    <s v="#BetterWithTesla"/>
    <x v="0"/>
    <n v="0.11879910213243547"/>
    <x v="6"/>
    <m/>
  </r>
  <r>
    <s v="P035"/>
    <s v="Instagram"/>
    <s v="2024-11-30"/>
    <x v="2"/>
    <s v="Check out our latest video on instagram!"/>
    <n v="3775"/>
    <n v="16"/>
    <n v="239"/>
    <n v="33975"/>
    <n v="33310"/>
    <n v="271"/>
    <s v="#FutureOfDriving"/>
    <m/>
    <m/>
    <x v="3"/>
    <n v="0.11861662987490802"/>
    <x v="6"/>
    <m/>
  </r>
  <r>
    <s v="P117"/>
    <s v="Twitter"/>
    <s v="2024-11-04"/>
    <x v="4"/>
    <s v="Check out our latest image on twitter!"/>
    <n v="1606"/>
    <n v="451"/>
    <n v="405"/>
    <n v="20878"/>
    <n v="20190"/>
    <n v="219"/>
    <s v="#EVRevolution"/>
    <m/>
    <m/>
    <x v="1"/>
    <n v="0.11792317271769326"/>
    <x v="6"/>
    <m/>
  </r>
  <r>
    <s v="P251"/>
    <s v="Instagram"/>
    <s v="2025-03-27"/>
    <x v="3"/>
    <s v="Check out our latest carousel on instagram!"/>
    <n v="1377"/>
    <n v="796"/>
    <n v="387"/>
    <n v="22032"/>
    <n v="21869"/>
    <n v="189"/>
    <s v="#FutureOfDriving"/>
    <m/>
    <m/>
    <x v="0"/>
    <n v="0.11619462599854757"/>
    <x v="6"/>
    <m/>
  </r>
  <r>
    <s v="P011"/>
    <s v="Instagram"/>
    <s v="2025-02-02"/>
    <x v="0"/>
    <s v="Check out our latest story on instagram!"/>
    <n v="1792"/>
    <n v="614"/>
    <n v="497"/>
    <n v="25088"/>
    <n v="24675"/>
    <n v="65"/>
    <s v="#FutureOfDriving"/>
    <m/>
    <m/>
    <x v="1"/>
    <n v="0.11571269132653061"/>
    <x v="6"/>
    <m/>
  </r>
  <r>
    <s v="P161"/>
    <s v="Twitter"/>
    <s v="2025-02-19"/>
    <x v="5"/>
    <s v="Check out our latest text on twitter!"/>
    <n v="4671"/>
    <n v="876"/>
    <n v="366"/>
    <n v="51381"/>
    <n v="50565"/>
    <n v="245"/>
    <s v="#TeslaCoInnovation"/>
    <m/>
    <m/>
    <x v="1"/>
    <n v="0.11508145034156594"/>
    <x v="6"/>
    <m/>
  </r>
  <r>
    <s v="P155"/>
    <s v="YouTube"/>
    <s v="2024-12-21"/>
    <x v="4"/>
    <s v="Check out our latest image on youtube!"/>
    <n v="2283"/>
    <n v="210"/>
    <n v="130"/>
    <n v="22830"/>
    <n v="22617"/>
    <n v="143"/>
    <s v="#FutureOfDriving"/>
    <m/>
    <m/>
    <x v="3"/>
    <n v="0.11489268506351293"/>
    <x v="6"/>
    <m/>
  </r>
  <r>
    <s v="P284"/>
    <s v="Twitter"/>
    <s v="2024-09-17"/>
    <x v="5"/>
    <s v="Check out our latest text on twitter!"/>
    <n v="571"/>
    <n v="190"/>
    <n v="352"/>
    <n v="9707"/>
    <n v="9418"/>
    <n v="231"/>
    <s v="#TeslaCoInnovation"/>
    <m/>
    <m/>
    <x v="1"/>
    <n v="0.11465952405480581"/>
    <x v="6"/>
    <m/>
  </r>
  <r>
    <s v="P113"/>
    <s v="Twitter"/>
    <s v="2024-10-02"/>
    <x v="3"/>
    <s v="Check out our latest carousel on twitter!"/>
    <n v="4419"/>
    <n v="236"/>
    <n v="369"/>
    <n v="44190"/>
    <n v="43582"/>
    <n v="10"/>
    <s v="#EVRevolution"/>
    <m/>
    <m/>
    <x v="4"/>
    <n v="0.11369088028965829"/>
    <x v="6"/>
    <m/>
  </r>
  <r>
    <s v="P158"/>
    <s v="Instagram"/>
    <s v="2024-08-11"/>
    <x v="0"/>
    <s v="Check out our latest story on instagram!"/>
    <n v="1762"/>
    <n v="405"/>
    <n v="423"/>
    <n v="22906"/>
    <n v="21925"/>
    <n v="25"/>
    <s v="#TeslaCoInnovation"/>
    <m/>
    <m/>
    <x v="4"/>
    <n v="0.11307081114118571"/>
    <x v="6"/>
    <m/>
  </r>
  <r>
    <s v="P098"/>
    <s v="Twitter"/>
    <s v="2024-06-10"/>
    <x v="0"/>
    <s v="Check out our latest story on twitter!"/>
    <n v="1575"/>
    <n v="771"/>
    <n v="486"/>
    <n v="25200"/>
    <n v="24826"/>
    <n v="17"/>
    <s v="#FutureOfDriving"/>
    <m/>
    <m/>
    <x v="1"/>
    <n v="0.11238095238095239"/>
    <x v="6"/>
    <m/>
  </r>
  <r>
    <s v="P227"/>
    <s v="Instagram"/>
    <s v="2024-06-12"/>
    <x v="5"/>
    <s v="Check out our latest text on instagram!"/>
    <n v="246"/>
    <n v="149"/>
    <n v="130"/>
    <n v="4674"/>
    <n v="4390"/>
    <n v="217"/>
    <s v="#FutureOfDriving"/>
    <m/>
    <m/>
    <x v="2"/>
    <n v="0.11232349165596919"/>
    <x v="6"/>
    <m/>
  </r>
  <r>
    <s v="P222"/>
    <s v="Facebook"/>
    <s v="2024-10-08"/>
    <x v="1"/>
    <s v="Check out our latest reel on facebook!"/>
    <n v="1814"/>
    <n v="653"/>
    <n v="363"/>
    <n v="25396"/>
    <n v="25286"/>
    <n v="39"/>
    <s v="#FutureOfDriving"/>
    <s v="#SmoothLikeNitroTesla"/>
    <m/>
    <x v="4"/>
    <n v="0.11143487163332809"/>
    <x v="6"/>
    <m/>
  </r>
  <r>
    <s v="P278"/>
    <s v="Twitter"/>
    <s v="2024-11-26"/>
    <x v="5"/>
    <s v="Check out our latest text on twitter!"/>
    <n v="4516"/>
    <n v="836"/>
    <n v="169"/>
    <n v="49676"/>
    <n v="49257"/>
    <n v="282"/>
    <s v="#EVRevolution"/>
    <m/>
    <m/>
    <x v="1"/>
    <n v="0.11114018842096787"/>
    <x v="6"/>
    <m/>
  </r>
  <r>
    <s v="P151"/>
    <s v="Instagram"/>
    <s v="2024-07-26"/>
    <x v="4"/>
    <s v="Check out our latest image on instagram!"/>
    <n v="3559"/>
    <n v="59"/>
    <n v="289"/>
    <n v="35590"/>
    <n v="35105"/>
    <n v="122"/>
    <s v="#EVRevolution"/>
    <m/>
    <m/>
    <x v="4"/>
    <n v="0.10977802753582468"/>
    <x v="6"/>
    <m/>
  </r>
  <r>
    <s v="P156"/>
    <s v="Facebook"/>
    <s v="2024-10-22"/>
    <x v="3"/>
    <s v="Check out our latest carousel on facebook!"/>
    <n v="3352"/>
    <n v="941"/>
    <n v="482"/>
    <n v="43576"/>
    <n v="43338"/>
    <n v="240"/>
    <s v="#FutureOfDriving"/>
    <m/>
    <m/>
    <x v="3"/>
    <n v="0.1095786671562328"/>
    <x v="6"/>
    <m/>
  </r>
  <r>
    <s v="P157"/>
    <s v="YouTube"/>
    <s v="2024-07-23"/>
    <x v="0"/>
    <s v="Check out our latest story on youtube!"/>
    <n v="4775"/>
    <n v="173"/>
    <n v="206"/>
    <n v="47750"/>
    <n v="47544"/>
    <n v="187"/>
    <s v="#FutureOfDriving"/>
    <m/>
    <m/>
    <x v="3"/>
    <n v="0.10793717277486911"/>
    <x v="6"/>
    <m/>
  </r>
  <r>
    <s v="P206"/>
    <s v="Twitter"/>
    <s v="2024-06-24"/>
    <x v="5"/>
    <s v="Check out our latest text on twitter!"/>
    <n v="941"/>
    <n v="121"/>
    <n v="458"/>
    <n v="14115"/>
    <n v="13838"/>
    <n v="87"/>
    <s v="#EVRevolution"/>
    <m/>
    <m/>
    <x v="4"/>
    <n v="0.10768685795253277"/>
    <x v="6"/>
    <m/>
  </r>
  <r>
    <s v="P282"/>
    <s v="Instagram"/>
    <s v="2024-10-03"/>
    <x v="2"/>
    <s v="Check out our latest video on instagram!"/>
    <n v="1488"/>
    <n v="417"/>
    <n v="168"/>
    <n v="19344"/>
    <n v="18395"/>
    <n v="30"/>
    <s v="#FutureOfDriving"/>
    <m/>
    <m/>
    <x v="2"/>
    <n v="0.1071650124069479"/>
    <x v="6"/>
    <m/>
  </r>
  <r>
    <s v="P049"/>
    <s v="Twitter"/>
    <s v="2024-06-10"/>
    <x v="0"/>
    <s v="Check out our latest story on twitter!"/>
    <n v="2164"/>
    <n v="549"/>
    <n v="274"/>
    <n v="28132"/>
    <n v="27361"/>
    <n v="177"/>
    <s v="#TeslaCoInnovation"/>
    <m/>
    <m/>
    <x v="1"/>
    <n v="0.10617801791554102"/>
    <x v="6"/>
    <m/>
  </r>
  <r>
    <s v="P205"/>
    <s v="Twitter"/>
    <s v="2025-04-24"/>
    <x v="2"/>
    <s v="Check out our latest video on twitter!"/>
    <n v="3820"/>
    <n v="697"/>
    <n v="268"/>
    <n v="45840"/>
    <n v="45631"/>
    <n v="171"/>
    <s v="#TeslaCoInnovation"/>
    <s v="#SmoothLikeNitroTesla"/>
    <m/>
    <x v="1"/>
    <n v="0.1043848167539267"/>
    <x v="6"/>
    <m/>
  </r>
  <r>
    <s v="P008"/>
    <s v="YouTube"/>
    <s v="2024-07-13"/>
    <x v="4"/>
    <s v="Check out our latest image on youtube!"/>
    <n v="3929"/>
    <n v="262"/>
    <n v="278"/>
    <n v="43219"/>
    <n v="42841"/>
    <n v="39"/>
    <s v="#EVRevolution"/>
    <m/>
    <m/>
    <x v="1"/>
    <n v="0.10340359564080613"/>
    <x v="6"/>
    <m/>
  </r>
  <r>
    <s v="P096"/>
    <s v="Twitter"/>
    <s v="2024-09-10"/>
    <x v="4"/>
    <s v="Check out our latest image on twitter!"/>
    <n v="1238"/>
    <n v="366"/>
    <n v="444"/>
    <n v="19808"/>
    <n v="19334"/>
    <n v="123"/>
    <s v="#FutureOfDriving"/>
    <m/>
    <m/>
    <x v="0"/>
    <n v="0.10339256865912763"/>
    <x v="6"/>
    <m/>
  </r>
  <r>
    <s v="P018"/>
    <s v="Instagram"/>
    <s v="2024-08-19"/>
    <x v="1"/>
    <s v="Check out our latest reel on instagram!"/>
    <n v="3000"/>
    <n v="382"/>
    <n v="325"/>
    <n v="36000"/>
    <n v="35819"/>
    <n v="19"/>
    <s v="#FutureOfDriving"/>
    <m/>
    <m/>
    <x v="4"/>
    <n v="0.10297222222222223"/>
    <x v="6"/>
    <m/>
  </r>
  <r>
    <s v="P182"/>
    <s v="Facebook"/>
    <s v="2024-07-31"/>
    <x v="4"/>
    <s v="Check out our latest image on facebook!"/>
    <n v="4689"/>
    <n v="134"/>
    <n v="403"/>
    <n v="51579"/>
    <n v="50924"/>
    <n v="173"/>
    <s v="#TeslaCoInnovation"/>
    <m/>
    <m/>
    <x v="1"/>
    <n v="0.10132030477519921"/>
    <x v="6"/>
    <m/>
  </r>
  <r>
    <s v="P266"/>
    <s v="Facebook"/>
    <s v="2024-11-25"/>
    <x v="0"/>
    <s v="Check out our latest story on facebook!"/>
    <n v="4182"/>
    <n v="640"/>
    <n v="240"/>
    <n v="50184"/>
    <n v="49351"/>
    <n v="10"/>
    <s v="#TeslaCoInnovation"/>
    <m/>
    <m/>
    <x v="2"/>
    <n v="0.10086880280567512"/>
    <x v="6"/>
    <m/>
  </r>
  <r>
    <s v="P019"/>
    <s v="Instagram"/>
    <s v="2024-06-23"/>
    <x v="2"/>
    <s v="Check out our latest video on instagram!"/>
    <n v="1071"/>
    <n v="519"/>
    <n v="22"/>
    <n v="16065"/>
    <n v="15865"/>
    <n v="103"/>
    <s v="#TeslaCoInnovation"/>
    <m/>
    <m/>
    <x v="1"/>
    <n v="0.10034235916588857"/>
    <x v="6"/>
    <m/>
  </r>
  <r>
    <s v="P108"/>
    <s v="Twitter"/>
    <s v="2025-03-25"/>
    <x v="2"/>
    <s v="Check out our latest video on twitter!"/>
    <n v="4050"/>
    <n v="871"/>
    <n v="347"/>
    <n v="52650"/>
    <n v="51755"/>
    <n v="209"/>
    <s v="#TeslaCoInnovation"/>
    <m/>
    <m/>
    <x v="3"/>
    <n v="0.10005698005698006"/>
    <x v="6"/>
    <m/>
  </r>
  <r>
    <s v="P126"/>
    <s v="Instagram"/>
    <s v="2025-03-28"/>
    <x v="3"/>
    <s v="Check out our latest carousel on instagram!"/>
    <n v="4158"/>
    <n v="167"/>
    <n v="241"/>
    <n v="45738"/>
    <n v="45183"/>
    <n v="142"/>
    <s v="#FutureOfDriving"/>
    <m/>
    <m/>
    <x v="0"/>
    <n v="9.9829463465827106E-2"/>
    <x v="6"/>
    <m/>
  </r>
  <r>
    <s v="P103"/>
    <s v="Facebook"/>
    <s v="2024-06-11"/>
    <x v="4"/>
    <s v="Check out our latest image on facebook!"/>
    <n v="3689"/>
    <n v="48"/>
    <n v="306"/>
    <n v="40579"/>
    <n v="39588"/>
    <n v="212"/>
    <s v="#EVRevolution"/>
    <m/>
    <m/>
    <x v="3"/>
    <n v="9.9632815002833983E-2"/>
    <x v="6"/>
    <m/>
  </r>
  <r>
    <s v="P191"/>
    <s v="YouTube"/>
    <s v="2024-12-03"/>
    <x v="0"/>
    <s v="Check out our latest story on youtube!"/>
    <n v="4285"/>
    <n v="886"/>
    <n v="376"/>
    <n v="55705"/>
    <n v="55556"/>
    <n v="51"/>
    <s v="#FutureOfDriving"/>
    <m/>
    <m/>
    <x v="2"/>
    <n v="9.9578134817341346E-2"/>
    <x v="6"/>
    <m/>
  </r>
  <r>
    <s v="P193"/>
    <s v="Twitter"/>
    <s v="2024-09-11"/>
    <x v="4"/>
    <s v="Check out our latest image on twitter!"/>
    <n v="4858"/>
    <n v="317"/>
    <n v="129"/>
    <n v="53438"/>
    <n v="52687"/>
    <n v="223"/>
    <s v="#EVRevolution"/>
    <m/>
    <m/>
    <x v="2"/>
    <n v="9.9255211647142488E-2"/>
    <x v="6"/>
    <m/>
  </r>
  <r>
    <s v="P167"/>
    <s v="Instagram"/>
    <s v="2024-11-28"/>
    <x v="5"/>
    <s v="Check out our latest text on instagram!"/>
    <n v="4771"/>
    <n v="818"/>
    <n v="56"/>
    <n v="57252"/>
    <n v="56378"/>
    <n v="150"/>
    <s v="#FutureOfDriving"/>
    <m/>
    <m/>
    <x v="0"/>
    <n v="9.859917557465242E-2"/>
    <x v="6"/>
    <m/>
  </r>
  <r>
    <s v="P044"/>
    <s v="Twitter"/>
    <s v="2025-03-02"/>
    <x v="4"/>
    <s v="Check out our latest image on twitter!"/>
    <n v="2358"/>
    <n v="784"/>
    <n v="344"/>
    <n v="35370"/>
    <n v="34475"/>
    <n v="216"/>
    <s v="#TeslaCoInnovation"/>
    <m/>
    <m/>
    <x v="0"/>
    <n v="9.8558100084817649E-2"/>
    <x v="6"/>
    <m/>
  </r>
  <r>
    <s v="P171"/>
    <s v="YouTube"/>
    <s v="2024-12-31"/>
    <x v="2"/>
    <s v="Check out our latest video on youtube!"/>
    <n v="1018"/>
    <n v="447"/>
    <n v="332"/>
    <n v="18324"/>
    <n v="18164"/>
    <n v="38"/>
    <s v="#FutureOfDriving"/>
    <m/>
    <m/>
    <x v="3"/>
    <n v="9.8068107400130972E-2"/>
    <x v="6"/>
    <m/>
  </r>
  <r>
    <s v="P273"/>
    <s v="YouTube"/>
    <s v="2024-10-12"/>
    <x v="0"/>
    <s v="Check out our latest story on youtube!"/>
    <n v="3641"/>
    <n v="226"/>
    <n v="46"/>
    <n v="40051"/>
    <n v="39319"/>
    <n v="296"/>
    <s v="#EVRevolution"/>
    <m/>
    <m/>
    <x v="1"/>
    <n v="9.7700431949264685E-2"/>
    <x v="6"/>
    <m/>
  </r>
  <r>
    <s v="P243"/>
    <s v="Twitter"/>
    <s v="2025-03-06"/>
    <x v="4"/>
    <s v="Check out our latest image on twitter!"/>
    <n v="3592"/>
    <n v="911"/>
    <n v="375"/>
    <n v="50288"/>
    <n v="49490"/>
    <n v="32"/>
    <s v="#FutureOfDriving"/>
    <m/>
    <m/>
    <x v="1"/>
    <n v="9.7001272669424113E-2"/>
    <x v="6"/>
    <m/>
  </r>
  <r>
    <s v="P185"/>
    <s v="Instagram"/>
    <s v="2025-01-11"/>
    <x v="3"/>
    <s v="Check out our latest carousel on instagram!"/>
    <n v="4523"/>
    <n v="61"/>
    <n v="157"/>
    <n v="49753"/>
    <n v="49329"/>
    <n v="71"/>
    <s v="#EVRevolution"/>
    <m/>
    <m/>
    <x v="0"/>
    <n v="9.5290736237010829E-2"/>
    <x v="6"/>
    <m/>
  </r>
  <r>
    <s v="P081"/>
    <s v="Instagram"/>
    <s v="2024-10-19"/>
    <x v="0"/>
    <s v="Check out our latest story on instagram!"/>
    <n v="1816"/>
    <n v="29"/>
    <n v="41"/>
    <n v="19976"/>
    <n v="19262"/>
    <n v="283"/>
    <s v="#TeslaCoInnovation"/>
    <m/>
    <m/>
    <x v="2"/>
    <n v="9.4413295955146179E-2"/>
    <x v="6"/>
    <m/>
  </r>
  <r>
    <s v="P017"/>
    <s v="Facebook"/>
    <s v="2025-05-05"/>
    <x v="5"/>
    <s v="Check out our latest text on facebook!"/>
    <n v="4441"/>
    <n v="511"/>
    <n v="70"/>
    <n v="53292"/>
    <n v="53082"/>
    <n v="159"/>
    <s v="#EVRevolution"/>
    <m/>
    <m/>
    <x v="1"/>
    <n v="9.4235532537716729E-2"/>
    <x v="6"/>
    <m/>
  </r>
  <r>
    <s v="P139"/>
    <s v="YouTube"/>
    <s v="2024-10-29"/>
    <x v="5"/>
    <s v="Check out our latest text on youtube!"/>
    <n v="2746"/>
    <n v="156"/>
    <n v="203"/>
    <n v="32952"/>
    <n v="32147"/>
    <n v="147"/>
    <s v="#EVRevolution"/>
    <m/>
    <m/>
    <x v="4"/>
    <n v="9.422796795338674E-2"/>
    <x v="6"/>
    <m/>
  </r>
  <r>
    <s v="P069"/>
    <s v="Twitter"/>
    <s v="2025-03-08"/>
    <x v="5"/>
    <s v="Check out our latest text on twitter!"/>
    <n v="1292"/>
    <n v="626"/>
    <n v="496"/>
    <n v="25840"/>
    <n v="24916"/>
    <n v="149"/>
    <s v="#FutureOfDriving"/>
    <m/>
    <m/>
    <x v="2"/>
    <n v="9.3421052631578946E-2"/>
    <x v="6"/>
    <m/>
  </r>
  <r>
    <s v="P059"/>
    <s v="Instagram"/>
    <s v="2024-06-22"/>
    <x v="5"/>
    <s v="Check out our latest text on instagram!"/>
    <n v="2180"/>
    <n v="263"/>
    <n v="387"/>
    <n v="30520"/>
    <n v="30059"/>
    <n v="174"/>
    <s v="#EVRevolution"/>
    <m/>
    <m/>
    <x v="0"/>
    <n v="9.2726081258191345E-2"/>
    <x v="6"/>
    <m/>
  </r>
  <r>
    <s v="P100"/>
    <s v="YouTube"/>
    <s v="2025-02-10"/>
    <x v="2"/>
    <s v="Check out our latest video on youtube!"/>
    <n v="1766"/>
    <n v="92"/>
    <n v="424"/>
    <n v="24724"/>
    <n v="24333"/>
    <n v="52"/>
    <s v="#EVRevolution"/>
    <m/>
    <m/>
    <x v="0"/>
    <n v="9.2298980747451867E-2"/>
    <x v="6"/>
    <m/>
  </r>
  <r>
    <s v="P055"/>
    <s v="Facebook"/>
    <s v="2024-06-17"/>
    <x v="4"/>
    <s v="Check out our latest image on facebook!"/>
    <n v="1226"/>
    <n v="119"/>
    <n v="7"/>
    <n v="14712"/>
    <n v="14049"/>
    <n v="123"/>
    <s v="#EVRevolution"/>
    <m/>
    <m/>
    <x v="1"/>
    <n v="9.1897770527460579E-2"/>
    <x v="6"/>
    <m/>
  </r>
  <r>
    <s v="P177"/>
    <s v="Instagram"/>
    <s v="2024-07-10"/>
    <x v="3"/>
    <s v="Check out our latest carousel on instagram!"/>
    <n v="3099"/>
    <n v="694"/>
    <n v="171"/>
    <n v="43386"/>
    <n v="42921"/>
    <n v="52"/>
    <s v="#TeslaCoInnovation"/>
    <m/>
    <m/>
    <x v="2"/>
    <n v="9.1365878393951966E-2"/>
    <x v="6"/>
    <m/>
  </r>
  <r>
    <s v="P160"/>
    <s v="Twitter"/>
    <s v="2024-08-24"/>
    <x v="2"/>
    <s v="Check out our latest video on twitter!"/>
    <n v="1082"/>
    <n v="209"/>
    <n v="484"/>
    <n v="19476"/>
    <n v="18654"/>
    <n v="20"/>
    <s v="#TeslaCoInnovation"/>
    <m/>
    <m/>
    <x v="0"/>
    <n v="9.1137810638734856E-2"/>
    <x v="6"/>
    <m/>
  </r>
  <r>
    <s v="P001"/>
    <s v="Twitter"/>
    <s v="2024-12-23"/>
    <x v="1"/>
    <s v="Check out our latest reel on twitter!"/>
    <n v="1461"/>
    <n v="184"/>
    <n v="344"/>
    <n v="21915"/>
    <n v="21675"/>
    <n v="15"/>
    <s v="#FutureOfDriving"/>
    <s v="#AnytimeIsTeslaTime"/>
    <m/>
    <x v="4"/>
    <n v="9.0759753593429152E-2"/>
    <x v="6"/>
    <m/>
  </r>
  <r>
    <s v="P201"/>
    <s v="Twitter"/>
    <s v="2025-01-15"/>
    <x v="1"/>
    <s v="Check out our latest reel on twitter!"/>
    <n v="802"/>
    <n v="262"/>
    <n v="244"/>
    <n v="14436"/>
    <n v="14280"/>
    <n v="49"/>
    <s v="#EVRevolution"/>
    <m/>
    <m/>
    <x v="4"/>
    <n v="9.0606816292601824E-2"/>
    <x v="6"/>
    <m/>
  </r>
  <r>
    <s v="P180"/>
    <s v="YouTube"/>
    <s v="2024-12-03"/>
    <x v="5"/>
    <s v="Check out our latest text on youtube!"/>
    <n v="3711"/>
    <n v="352"/>
    <n v="290"/>
    <n v="48243"/>
    <n v="47579"/>
    <n v="11"/>
    <s v="#TeslaCoInnovation"/>
    <m/>
    <m/>
    <x v="4"/>
    <n v="9.023070704558174E-2"/>
    <x v="6"/>
    <m/>
  </r>
  <r>
    <s v="P026"/>
    <s v="YouTube"/>
    <s v="2025-04-05"/>
    <x v="1"/>
    <s v="Check out our latest reel on youtube!"/>
    <n v="3009"/>
    <n v="413"/>
    <n v="358"/>
    <n v="42126"/>
    <n v="41309"/>
    <n v="211"/>
    <s v="#FutureOfDriving"/>
    <m/>
    <m/>
    <x v="3"/>
    <n v="8.9730807577268201E-2"/>
    <x v="6"/>
    <m/>
  </r>
  <r>
    <s v="P130"/>
    <s v="YouTube"/>
    <s v="2024-09-29"/>
    <x v="1"/>
    <s v="Check out our latest reel on youtube!"/>
    <n v="2936"/>
    <n v="439"/>
    <n v="44"/>
    <n v="38168"/>
    <n v="37571"/>
    <n v="22"/>
    <s v="#EVRevolution"/>
    <m/>
    <m/>
    <x v="1"/>
    <n v="8.9577656675749323E-2"/>
    <x v="6"/>
    <m/>
  </r>
  <r>
    <s v="P079"/>
    <s v="Instagram"/>
    <s v="2024-10-09"/>
    <x v="3"/>
    <s v="Check out our latest carousel on instagram!"/>
    <n v="3068"/>
    <n v="137"/>
    <n v="329"/>
    <n v="39884"/>
    <n v="39404"/>
    <n v="266"/>
    <s v="#EVRevolution"/>
    <m/>
    <m/>
    <x v="3"/>
    <n v="8.860696018453515E-2"/>
    <x v="6"/>
    <m/>
  </r>
  <r>
    <s v="P072"/>
    <s v="YouTube"/>
    <s v="2025-03-03"/>
    <x v="1"/>
    <s v="Check out our latest reel on youtube!"/>
    <n v="296"/>
    <n v="60"/>
    <n v="141"/>
    <n v="5624"/>
    <n v="5239"/>
    <n v="88"/>
    <s v="#EVRevolution"/>
    <m/>
    <m/>
    <x v="3"/>
    <n v="8.837126600284495E-2"/>
    <x v="6"/>
    <m/>
  </r>
  <r>
    <s v="P009"/>
    <s v="Facebook"/>
    <s v="2024-08-30"/>
    <x v="5"/>
    <s v="Check out our latest text on facebook!"/>
    <n v="3784"/>
    <n v="808"/>
    <n v="404"/>
    <n v="56760"/>
    <n v="56343"/>
    <n v="131"/>
    <s v="#TeslaCoInnovation"/>
    <m/>
    <m/>
    <x v="3"/>
    <n v="8.8019732205778717E-2"/>
    <x v="6"/>
    <m/>
  </r>
  <r>
    <s v="P260"/>
    <s v="Instagram"/>
    <s v="2025-02-12"/>
    <x v="0"/>
    <s v="Check out our latest story on instagram!"/>
    <n v="4332"/>
    <n v="771"/>
    <n v="219"/>
    <n v="60648"/>
    <n v="60397"/>
    <n v="10"/>
    <s v="#TeslaCoInnovation"/>
    <s v="#EVRevolution"/>
    <s v="#BetterWithTesla"/>
    <x v="2"/>
    <n v="8.7752275425405618E-2"/>
    <x v="6"/>
    <m/>
  </r>
  <r>
    <s v="P249"/>
    <s v="Twitter"/>
    <s v="2024-07-18"/>
    <x v="4"/>
    <s v="Check out our latest image on twitter!"/>
    <n v="827"/>
    <n v="77"/>
    <n v="402"/>
    <n v="14886"/>
    <n v="14129"/>
    <n v="254"/>
    <s v="#EVRevolution"/>
    <m/>
    <m/>
    <x v="3"/>
    <n v="8.7733440816874911E-2"/>
    <x v="6"/>
    <m/>
  </r>
  <r>
    <s v="P097"/>
    <s v="Instagram"/>
    <s v="2024-08-13"/>
    <x v="4"/>
    <s v="Check out our latest image on instagram!"/>
    <n v="4739"/>
    <n v="527"/>
    <n v="135"/>
    <n v="61607"/>
    <n v="61333"/>
    <n v="36"/>
    <s v="#TeslaCoInnovation"/>
    <s v="#AnytimeIsTeslaTime"/>
    <m/>
    <x v="3"/>
    <n v="8.7668609086629767E-2"/>
    <x v="6"/>
    <m/>
  </r>
  <r>
    <s v="P253"/>
    <s v="Twitter"/>
    <s v="2024-08-03"/>
    <x v="1"/>
    <s v="Check out our latest reel on twitter!"/>
    <n v="3791"/>
    <n v="593"/>
    <n v="228"/>
    <n v="53074"/>
    <n v="52613"/>
    <n v="205"/>
    <s v="#EVRevolution"/>
    <m/>
    <m/>
    <x v="0"/>
    <n v="8.6897539284772202E-2"/>
    <x v="6"/>
    <m/>
  </r>
  <r>
    <s v="P084"/>
    <s v="Facebook"/>
    <s v="2024-12-09"/>
    <x v="4"/>
    <s v="Check out our latest image on facebook!"/>
    <n v="1841"/>
    <n v="851"/>
    <n v="342"/>
    <n v="34979"/>
    <n v="34154"/>
    <n v="255"/>
    <s v="#FutureOfDriving"/>
    <m/>
    <m/>
    <x v="1"/>
    <n v="8.6737756939878216E-2"/>
    <x v="6"/>
    <m/>
  </r>
  <r>
    <s v="P162"/>
    <s v="Facebook"/>
    <s v="2025-04-01"/>
    <x v="0"/>
    <s v="Check out our latest story on facebook!"/>
    <n v="3430"/>
    <n v="566"/>
    <n v="164"/>
    <n v="48020"/>
    <n v="47305"/>
    <n v="120"/>
    <s v="#FutureOfDriving"/>
    <m/>
    <m/>
    <x v="0"/>
    <n v="8.6630570595585168E-2"/>
    <x v="6"/>
    <m/>
  </r>
  <r>
    <s v="P208"/>
    <s v="YouTube"/>
    <s v="2024-06-24"/>
    <x v="2"/>
    <s v="Check out our latest video on youtube!"/>
    <n v="2949"/>
    <n v="476"/>
    <n v="403"/>
    <n v="44235"/>
    <n v="43705"/>
    <n v="135"/>
    <s v="#TeslaCoInnovation"/>
    <m/>
    <m/>
    <x v="3"/>
    <n v="8.6537809426924378E-2"/>
    <x v="6"/>
    <m/>
  </r>
  <r>
    <s v="P240"/>
    <s v="Twitter"/>
    <s v="2024-08-26"/>
    <x v="3"/>
    <s v="Check out our latest carousel on twitter!"/>
    <n v="929"/>
    <n v="192"/>
    <n v="322"/>
    <n v="16722"/>
    <n v="15996"/>
    <n v="145"/>
    <s v="#EVRevolution"/>
    <s v="#TeslaCoInnovation"/>
    <s v="#AnytimeIsTeslaTime"/>
    <x v="2"/>
    <n v="8.6293505561535699E-2"/>
    <x v="6"/>
    <m/>
  </r>
  <r>
    <s v="P231"/>
    <s v="Instagram"/>
    <s v="2025-05-01"/>
    <x v="5"/>
    <s v="Check out our latest text on instagram!"/>
    <n v="1430"/>
    <n v="376"/>
    <n v="33"/>
    <n v="21450"/>
    <n v="20509"/>
    <n v="251"/>
    <s v="#FutureOfDriving"/>
    <m/>
    <m/>
    <x v="4"/>
    <n v="8.5734265734265735E-2"/>
    <x v="6"/>
    <m/>
  </r>
  <r>
    <s v="P106"/>
    <s v="Instagram"/>
    <s v="2025-02-04"/>
    <x v="4"/>
    <s v="Check out our latest image on instagram!"/>
    <n v="4619"/>
    <n v="821"/>
    <n v="499"/>
    <n v="69285"/>
    <n v="69141"/>
    <n v="298"/>
    <s v="#TeslaCoInnovation"/>
    <m/>
    <m/>
    <x v="1"/>
    <n v="8.5718409468138843E-2"/>
    <x v="6"/>
    <m/>
  </r>
  <r>
    <s v="P082"/>
    <s v="Instagram"/>
    <s v="2024-07-24"/>
    <x v="4"/>
    <s v="Check out our latest image on instagram!"/>
    <n v="725"/>
    <n v="88"/>
    <n v="428"/>
    <n v="14500"/>
    <n v="13637"/>
    <n v="200"/>
    <s v="#FutureOfDriving"/>
    <s v="#TeslaCoInnovation"/>
    <s v="#AnytimeIsTeslaTime"/>
    <x v="2"/>
    <n v="8.558620689655172E-2"/>
    <x v="6"/>
    <m/>
  </r>
  <r>
    <s v="P199"/>
    <s v="YouTube"/>
    <s v="2024-11-30"/>
    <x v="3"/>
    <s v="Check out our latest carousel on youtube!"/>
    <n v="2509"/>
    <n v="324"/>
    <n v="171"/>
    <n v="35126"/>
    <n v="34685"/>
    <n v="277"/>
    <s v="#TeslaCoInnovation"/>
    <m/>
    <m/>
    <x v="3"/>
    <n v="8.5520696919660646E-2"/>
    <x v="6"/>
    <m/>
  </r>
  <r>
    <s v="P188"/>
    <s v="YouTube"/>
    <s v="2024-06-06"/>
    <x v="1"/>
    <s v="Check out our latest reel on youtube!"/>
    <n v="2728"/>
    <n v="533"/>
    <n v="215"/>
    <n v="40920"/>
    <n v="40816"/>
    <n v="137"/>
    <s v="#FutureOfDriving"/>
    <m/>
    <m/>
    <x v="3"/>
    <n v="8.4946236559139784E-2"/>
    <x v="6"/>
    <m/>
  </r>
  <r>
    <s v="P186"/>
    <s v="Facebook"/>
    <s v="2024-08-24"/>
    <x v="3"/>
    <s v="Check out our latest carousel on facebook!"/>
    <n v="4292"/>
    <n v="51"/>
    <n v="392"/>
    <n v="55796"/>
    <n v="54826"/>
    <n v="264"/>
    <s v="#EVRevolution"/>
    <m/>
    <m/>
    <x v="2"/>
    <n v="8.4862714173059003E-2"/>
    <x v="6"/>
    <m/>
  </r>
  <r>
    <s v="P194"/>
    <s v="YouTube"/>
    <s v="2024-10-02"/>
    <x v="0"/>
    <s v="Check out our latest story on youtube!"/>
    <n v="4350"/>
    <n v="771"/>
    <n v="7"/>
    <n v="60900"/>
    <n v="60592"/>
    <n v="195"/>
    <s v="#EVRevolution"/>
    <m/>
    <m/>
    <x v="4"/>
    <n v="8.4203612479474554E-2"/>
    <x v="6"/>
    <m/>
  </r>
  <r>
    <s v="P268"/>
    <s v="Instagram"/>
    <s v="2025-04-13"/>
    <x v="1"/>
    <s v="Check out our latest reel on instagram!"/>
    <n v="4579"/>
    <n v="125"/>
    <n v="300"/>
    <n v="59527"/>
    <n v="59400"/>
    <n v="269"/>
    <s v="#EVRevolution"/>
    <m/>
    <m/>
    <x v="4"/>
    <n v="8.4062694239588759E-2"/>
    <x v="6"/>
    <m/>
  </r>
  <r>
    <s v="P290"/>
    <s v="Instagram"/>
    <s v="2024-12-20"/>
    <x v="3"/>
    <s v="Check out our latest carousel on instagram!"/>
    <n v="2107"/>
    <n v="550"/>
    <n v="349"/>
    <n v="35819"/>
    <n v="35340"/>
    <n v="191"/>
    <s v="#EVRevolution"/>
    <m/>
    <m/>
    <x v="1"/>
    <n v="8.3921940869371006E-2"/>
    <x v="6"/>
    <m/>
  </r>
  <r>
    <s v="P187"/>
    <s v="Twitter"/>
    <s v="2024-12-22"/>
    <x v="1"/>
    <s v="Check out our latest reel on twitter!"/>
    <n v="1644"/>
    <n v="546"/>
    <n v="150"/>
    <n v="27948"/>
    <n v="27184"/>
    <n v="300"/>
    <s v="#EVRevolution"/>
    <m/>
    <m/>
    <x v="2"/>
    <n v="8.3726921425504502E-2"/>
    <x v="6"/>
    <m/>
  </r>
  <r>
    <s v="P300"/>
    <s v="Twitter"/>
    <s v="2024-08-31"/>
    <x v="3"/>
    <s v="Check out our latest carousel on twitter!"/>
    <n v="4494"/>
    <n v="717"/>
    <n v="45"/>
    <n v="62916"/>
    <n v="62688"/>
    <n v="191"/>
    <s v="#TeslaCoInnovation"/>
    <s v="#EVRevolution"/>
    <s v="#BetterWithTesla"/>
    <x v="4"/>
    <n v="8.3539958039290485E-2"/>
    <x v="6"/>
    <m/>
  </r>
  <r>
    <s v="P280"/>
    <s v="YouTube"/>
    <s v="2024-10-21"/>
    <x v="2"/>
    <s v="Check out our latest video on youtube!"/>
    <n v="4275"/>
    <n v="680"/>
    <n v="385"/>
    <n v="64125"/>
    <n v="63650"/>
    <n v="104"/>
    <s v="#EVRevolution"/>
    <s v="#TeslaCoInnovation"/>
    <s v="#AnytimeIsTeslaTime"/>
    <x v="1"/>
    <n v="8.3274853801169585E-2"/>
    <x v="6"/>
    <m/>
  </r>
  <r>
    <s v="P261"/>
    <s v="Instagram"/>
    <s v="2024-10-27"/>
    <x v="4"/>
    <s v="Check out our latest image on instagram!"/>
    <n v="4853"/>
    <n v="837"/>
    <n v="340"/>
    <n v="72795"/>
    <n v="72237"/>
    <n v="170"/>
    <s v="#EVRevolution"/>
    <m/>
    <m/>
    <x v="4"/>
    <n v="8.2835359571399134E-2"/>
    <x v="6"/>
    <m/>
  </r>
  <r>
    <s v="P209"/>
    <s v="Twitter"/>
    <s v="2025-03-19"/>
    <x v="2"/>
    <s v="Check out our latest video on twitter!"/>
    <n v="3160"/>
    <n v="204"/>
    <n v="297"/>
    <n v="44240"/>
    <n v="43666"/>
    <n v="49"/>
    <s v="#FutureOfDriving"/>
    <s v="#AnytimeIsTeslaTime"/>
    <m/>
    <x v="1"/>
    <n v="8.2753164556962022E-2"/>
    <x v="6"/>
    <m/>
  </r>
  <r>
    <s v="P213"/>
    <s v="Facebook"/>
    <s v="2025-05-01"/>
    <x v="3"/>
    <s v="Check out our latest carousel on facebook!"/>
    <n v="2696"/>
    <n v="628"/>
    <n v="443"/>
    <n v="45832"/>
    <n v="45632"/>
    <n v="248"/>
    <s v="#EVRevolution"/>
    <m/>
    <m/>
    <x v="1"/>
    <n v="8.21914819340199E-2"/>
    <x v="6"/>
    <m/>
  </r>
  <r>
    <s v="P202"/>
    <s v="Facebook"/>
    <s v="2024-06-02"/>
    <x v="4"/>
    <s v="Check out our latest image on facebook!"/>
    <n v="1871"/>
    <n v="252"/>
    <n v="335"/>
    <n v="29936"/>
    <n v="29576"/>
    <n v="288"/>
    <s v="#EVRevolution"/>
    <m/>
    <m/>
    <x v="2"/>
    <n v="8.2108498129342594E-2"/>
    <x v="6"/>
    <m/>
  </r>
  <r>
    <s v="P078"/>
    <s v="Twitter"/>
    <s v="2024-06-17"/>
    <x v="4"/>
    <s v="Check out our latest image on twitter!"/>
    <n v="954"/>
    <n v="324"/>
    <n v="288"/>
    <n v="19080"/>
    <n v="18859"/>
    <n v="21"/>
    <s v="#FutureOfDriving"/>
    <m/>
    <m/>
    <x v="1"/>
    <n v="8.2075471698113203E-2"/>
    <x v="6"/>
    <m/>
  </r>
  <r>
    <s v="P064"/>
    <s v="Facebook"/>
    <s v="2024-08-17"/>
    <x v="4"/>
    <s v="Check out our latest image on facebook!"/>
    <n v="2878"/>
    <n v="248"/>
    <n v="416"/>
    <n v="43170"/>
    <n v="42667"/>
    <n v="75"/>
    <s v="#FutureOfDriving"/>
    <m/>
    <m/>
    <x v="2"/>
    <n v="8.2047718322909427E-2"/>
    <x v="6"/>
    <m/>
  </r>
  <r>
    <s v="P228"/>
    <s v="Instagram"/>
    <s v="2024-07-01"/>
    <x v="0"/>
    <s v="Check out our latest story on instagram!"/>
    <n v="4808"/>
    <n v="772"/>
    <n v="320"/>
    <n v="72120"/>
    <n v="71696"/>
    <n v="195"/>
    <s v="#EVRevolution"/>
    <m/>
    <m/>
    <x v="4"/>
    <n v="8.1808097615085965E-2"/>
    <x v="6"/>
    <m/>
  </r>
  <r>
    <s v="P076"/>
    <s v="Twitter"/>
    <s v="2024-11-07"/>
    <x v="0"/>
    <s v="Check out our latest story on twitter!"/>
    <n v="1121"/>
    <n v="135"/>
    <n v="18"/>
    <n v="15694"/>
    <n v="14957"/>
    <n v="99"/>
    <s v="#TeslaCoInnovation"/>
    <m/>
    <m/>
    <x v="1"/>
    <n v="8.1177520071364848E-2"/>
    <x v="6"/>
    <m/>
  </r>
  <r>
    <s v="P057"/>
    <s v="Twitter"/>
    <s v="2024-10-21"/>
    <x v="2"/>
    <s v="Check out our latest video on twitter!"/>
    <n v="2825"/>
    <n v="535"/>
    <n v="295"/>
    <n v="45200"/>
    <n v="44739"/>
    <n v="169"/>
    <s v="#TeslaCoInnovation"/>
    <m/>
    <m/>
    <x v="4"/>
    <n v="8.0862831858407078E-2"/>
    <x v="6"/>
    <m/>
  </r>
  <r>
    <s v="P122"/>
    <s v="Instagram"/>
    <s v="2024-10-02"/>
    <x v="5"/>
    <s v="Check out our latest text on instagram!"/>
    <n v="3432"/>
    <n v="869"/>
    <n v="123"/>
    <n v="54912"/>
    <n v="53916"/>
    <n v="264"/>
    <s v="#EVRevolution"/>
    <m/>
    <m/>
    <x v="3"/>
    <n v="8.0565268065268064E-2"/>
    <x v="6"/>
    <m/>
  </r>
  <r>
    <s v="P022"/>
    <s v="Facebook"/>
    <s v="2025-02-27"/>
    <x v="5"/>
    <s v="Check out our latest text on facebook!"/>
    <n v="1570"/>
    <n v="187"/>
    <n v="260"/>
    <n v="25120"/>
    <n v="24613"/>
    <n v="133"/>
    <s v="#TeslaCoInnovation"/>
    <m/>
    <m/>
    <x v="1"/>
    <n v="8.0294585987261149E-2"/>
    <x v="6"/>
    <m/>
  </r>
  <r>
    <s v="P118"/>
    <s v="Facebook"/>
    <s v="2024-11-04"/>
    <x v="4"/>
    <s v="Check out our latest image on facebook!"/>
    <n v="4551"/>
    <n v="714"/>
    <n v="207"/>
    <n v="68265"/>
    <n v="67754"/>
    <n v="57"/>
    <s v="#FutureOfDriving"/>
    <m/>
    <m/>
    <x v="2"/>
    <n v="8.0158206987475278E-2"/>
    <x v="6"/>
    <m/>
  </r>
  <r>
    <s v="P257"/>
    <s v="Facebook"/>
    <s v="2025-04-06"/>
    <x v="4"/>
    <s v="Check out our latest image on facebook!"/>
    <n v="3090"/>
    <n v="697"/>
    <n v="164"/>
    <n v="49440"/>
    <n v="48524"/>
    <n v="25"/>
    <s v="#EVRevolution"/>
    <s v="#EVRevolution"/>
    <s v="#BetterWithTesla"/>
    <x v="3"/>
    <n v="7.9915048543689318E-2"/>
    <x v="6"/>
    <m/>
  </r>
  <r>
    <s v="P091"/>
    <s v="Facebook"/>
    <s v="2025-03-24"/>
    <x v="4"/>
    <s v="Check out our latest image on facebook!"/>
    <n v="1263"/>
    <n v="397"/>
    <n v="357"/>
    <n v="25260"/>
    <n v="24615"/>
    <n v="137"/>
    <s v="#EVRevolution"/>
    <m/>
    <m/>
    <x v="1"/>
    <n v="7.984956452889945E-2"/>
    <x v="6"/>
    <m/>
  </r>
  <r>
    <s v="P274"/>
    <s v="Twitter"/>
    <s v="2025-01-01"/>
    <x v="3"/>
    <s v="Check out our latest carousel on twitter!"/>
    <n v="3535"/>
    <n v="494"/>
    <n v="152"/>
    <n v="53025"/>
    <n v="52791"/>
    <n v="44"/>
    <s v="#TeslaCoInnovation"/>
    <m/>
    <m/>
    <x v="1"/>
    <n v="7.8849599245638849E-2"/>
    <x v="6"/>
    <m/>
  </r>
  <r>
    <s v="P051"/>
    <s v="Facebook"/>
    <s v="2024-06-13"/>
    <x v="3"/>
    <s v="Check out our latest carousel on facebook!"/>
    <n v="2200"/>
    <n v="504"/>
    <n v="239"/>
    <n v="37400"/>
    <n v="36938"/>
    <n v="225"/>
    <s v="#FutureOfDriving"/>
    <m/>
    <m/>
    <x v="3"/>
    <n v="7.8689839572192513E-2"/>
    <x v="6"/>
    <m/>
  </r>
  <r>
    <s v="P080"/>
    <s v="Instagram"/>
    <s v="2024-06-13"/>
    <x v="0"/>
    <s v="Check out our latest story on instagram!"/>
    <n v="2103"/>
    <n v="892"/>
    <n v="103"/>
    <n v="39957"/>
    <n v="39466"/>
    <n v="28"/>
    <s v="#FutureOfDriving"/>
    <m/>
    <m/>
    <x v="0"/>
    <n v="7.7533348349475686E-2"/>
    <x v="6"/>
    <m/>
  </r>
  <r>
    <s v="P230"/>
    <s v="Facebook"/>
    <s v="2024-07-15"/>
    <x v="1"/>
    <s v="Check out our latest reel on facebook!"/>
    <n v="3663"/>
    <n v="17"/>
    <n v="295"/>
    <n v="51282"/>
    <n v="50567"/>
    <n v="84"/>
    <s v="#EVRevolution"/>
    <m/>
    <m/>
    <x v="2"/>
    <n v="7.7512577512577507E-2"/>
    <x v="6"/>
    <m/>
  </r>
  <r>
    <s v="P149"/>
    <s v="Twitter"/>
    <s v="2024-06-16"/>
    <x v="2"/>
    <s v="Check out our latest video on twitter!"/>
    <n v="1702"/>
    <n v="750"/>
    <n v="179"/>
    <n v="34040"/>
    <n v="33174"/>
    <n v="76"/>
    <s v="#EVRevolution"/>
    <m/>
    <m/>
    <x v="4"/>
    <n v="7.7291421856639245E-2"/>
    <x v="6"/>
    <m/>
  </r>
  <r>
    <s v="P021"/>
    <s v="Instagram"/>
    <s v="2025-01-04"/>
    <x v="1"/>
    <s v="Check out our latest reel on instagram!"/>
    <n v="4838"/>
    <n v="640"/>
    <n v="128"/>
    <n v="72570"/>
    <n v="72396"/>
    <n v="83"/>
    <s v="#FutureOfDriving"/>
    <m/>
    <m/>
    <x v="1"/>
    <n v="7.7249552156538517E-2"/>
    <x v="6"/>
    <m/>
  </r>
  <r>
    <s v="P023"/>
    <s v="Facebook"/>
    <s v="2024-11-06"/>
    <x v="2"/>
    <s v="Check out our latest video on facebook!"/>
    <n v="1606"/>
    <n v="547"/>
    <n v="316"/>
    <n v="32120"/>
    <n v="31736"/>
    <n v="225"/>
    <s v="#TeslaCoInnovation"/>
    <s v="#AnytimeIsTeslaTime"/>
    <m/>
    <x v="3"/>
    <n v="7.6867995018679955E-2"/>
    <x v="6"/>
    <m/>
  </r>
  <r>
    <s v="P036"/>
    <s v="Instagram"/>
    <s v="2025-04-19"/>
    <x v="0"/>
    <s v="Check out our latest story on instagram!"/>
    <n v="4518"/>
    <n v="285"/>
    <n v="383"/>
    <n v="67770"/>
    <n v="67621"/>
    <n v="31"/>
    <s v="#EVRevolution"/>
    <m/>
    <m/>
    <x v="3"/>
    <n v="7.6523535487678915E-2"/>
    <x v="6"/>
    <m/>
  </r>
  <r>
    <s v="P002"/>
    <s v="Twitter"/>
    <s v="2025-04-03"/>
    <x v="5"/>
    <s v="Check out our latest text on twitter!"/>
    <n v="4054"/>
    <n v="389"/>
    <n v="493"/>
    <n v="64864"/>
    <n v="64383"/>
    <n v="117"/>
    <s v="#TeslaCoInnovation"/>
    <s v="#BetterWithTesla"/>
    <m/>
    <x v="3"/>
    <n v="7.6097681302417369E-2"/>
    <x v="6"/>
    <m/>
  </r>
  <r>
    <s v="P234"/>
    <s v="Facebook"/>
    <s v="2024-06-01"/>
    <x v="5"/>
    <s v="Check out our latest text on facebook!"/>
    <n v="1272"/>
    <n v="465"/>
    <n v="99"/>
    <n v="24168"/>
    <n v="23719"/>
    <n v="42"/>
    <s v="#TeslaCoInnovation"/>
    <m/>
    <m/>
    <x v="0"/>
    <n v="7.5968222442899705E-2"/>
    <x v="6"/>
    <m/>
  </r>
  <r>
    <s v="P013"/>
    <s v="YouTube"/>
    <s v="2024-11-18"/>
    <x v="3"/>
    <s v="Check out our latest carousel on youtube!"/>
    <n v="1171"/>
    <n v="286"/>
    <n v="231"/>
    <n v="22249"/>
    <n v="21282"/>
    <n v="114"/>
    <s v="#EVRevolution"/>
    <m/>
    <m/>
    <x v="4"/>
    <n v="7.5868578363072495E-2"/>
    <x v="6"/>
    <m/>
  </r>
  <r>
    <s v="P016"/>
    <s v="Facebook"/>
    <s v="2024-08-26"/>
    <x v="5"/>
    <s v="Check out our latest text on facebook!"/>
    <n v="3452"/>
    <n v="377"/>
    <n v="360"/>
    <n v="55232"/>
    <n v="55075"/>
    <n v="87"/>
    <s v="#FutureOfDriving"/>
    <m/>
    <m/>
    <x v="2"/>
    <n v="7.5843713789107758E-2"/>
    <x v="6"/>
    <m/>
  </r>
  <r>
    <s v="P179"/>
    <s v="Facebook"/>
    <s v="2024-07-15"/>
    <x v="3"/>
    <s v="Check out our latest carousel on facebook!"/>
    <n v="3796"/>
    <n v="667"/>
    <n v="395"/>
    <n v="64532"/>
    <n v="63550"/>
    <n v="292"/>
    <s v="#TeslaCoInnovation"/>
    <m/>
    <m/>
    <x v="0"/>
    <n v="7.5280481001673588E-2"/>
    <x v="6"/>
    <m/>
  </r>
  <r>
    <s v="P045"/>
    <s v="Facebook"/>
    <s v="2024-11-01"/>
    <x v="2"/>
    <s v="Check out our latest video on facebook!"/>
    <n v="3371"/>
    <n v="106"/>
    <n v="327"/>
    <n v="50565"/>
    <n v="49816"/>
    <n v="176"/>
    <s v="#FutureOfDriving"/>
    <m/>
    <m/>
    <x v="4"/>
    <n v="7.5229902106199939E-2"/>
    <x v="6"/>
    <m/>
  </r>
  <r>
    <s v="P168"/>
    <s v="Facebook"/>
    <s v="2024-11-12"/>
    <x v="5"/>
    <s v="Check out our latest text on facebook!"/>
    <n v="2418"/>
    <n v="754"/>
    <n v="54"/>
    <n v="43524"/>
    <n v="42743"/>
    <n v="182"/>
    <s v="#EVRevolution"/>
    <m/>
    <m/>
    <x v="4"/>
    <n v="7.412002573292896E-2"/>
    <x v="6"/>
    <m/>
  </r>
  <r>
    <s v="P111"/>
    <s v="YouTube"/>
    <s v="2024-11-23"/>
    <x v="4"/>
    <s v="Check out our latest image on youtube!"/>
    <n v="2719"/>
    <n v="17"/>
    <n v="285"/>
    <n v="40785"/>
    <n v="40281"/>
    <n v="40"/>
    <s v="#TeslaCoInnovation"/>
    <m/>
    <m/>
    <x v="3"/>
    <n v="7.4071349760941527E-2"/>
    <x v="6"/>
    <m/>
  </r>
  <r>
    <s v="P101"/>
    <s v="YouTube"/>
    <s v="2024-10-18"/>
    <x v="2"/>
    <s v="Check out our latest video on youtube!"/>
    <n v="4450"/>
    <n v="983"/>
    <n v="143"/>
    <n v="75650"/>
    <n v="75008"/>
    <n v="12"/>
    <s v="#FutureOfDriving"/>
    <m/>
    <m/>
    <x v="2"/>
    <n v="7.3707865168539333E-2"/>
    <x v="6"/>
    <m/>
  </r>
  <r>
    <s v="P048"/>
    <s v="Twitter"/>
    <s v="2025-03-11"/>
    <x v="0"/>
    <s v="Check out our latest story on twitter!"/>
    <n v="1950"/>
    <n v="295"/>
    <n v="478"/>
    <n v="37050"/>
    <n v="36272"/>
    <n v="119"/>
    <s v="#TeslaCoInnovation"/>
    <m/>
    <m/>
    <x v="0"/>
    <n v="7.349527665317139E-2"/>
    <x v="6"/>
    <m/>
  </r>
  <r>
    <s v="P250"/>
    <s v="Facebook"/>
    <s v="2024-06-22"/>
    <x v="1"/>
    <s v="Check out our latest reel on facebook!"/>
    <n v="3813"/>
    <n v="935"/>
    <n v="274"/>
    <n v="68634"/>
    <n v="68488"/>
    <n v="251"/>
    <s v="#FutureOfDriving"/>
    <m/>
    <m/>
    <x v="0"/>
    <n v="7.3170731707317069E-2"/>
    <x v="6"/>
    <m/>
  </r>
  <r>
    <s v="P289"/>
    <s v="Facebook"/>
    <s v="2024-11-28"/>
    <x v="3"/>
    <s v="Check out our latest carousel on facebook!"/>
    <n v="2751"/>
    <n v="33"/>
    <n v="430"/>
    <n v="44016"/>
    <n v="43415"/>
    <n v="129"/>
    <s v="#FutureOfDriving"/>
    <m/>
    <m/>
    <x v="0"/>
    <n v="7.3018902217375503E-2"/>
    <x v="6"/>
    <m/>
  </r>
  <r>
    <s v="P233"/>
    <s v="Facebook"/>
    <s v="2025-03-08"/>
    <x v="4"/>
    <s v="Check out our latest image on facebook!"/>
    <n v="2382"/>
    <n v="265"/>
    <n v="134"/>
    <n v="38112"/>
    <n v="37437"/>
    <n v="249"/>
    <s v="#FutureOfDriving"/>
    <m/>
    <m/>
    <x v="1"/>
    <n v="7.2969143576826198E-2"/>
    <x v="6"/>
    <m/>
  </r>
  <r>
    <s v="P172"/>
    <s v="Facebook"/>
    <s v="2024-08-14"/>
    <x v="3"/>
    <s v="Check out our latest carousel on facebook!"/>
    <n v="3073"/>
    <n v="553"/>
    <n v="174"/>
    <n v="52241"/>
    <n v="51605"/>
    <n v="246"/>
    <s v="#EVRevolution"/>
    <m/>
    <m/>
    <x v="2"/>
    <n v="7.2739802071170159E-2"/>
    <x v="6"/>
    <m/>
  </r>
  <r>
    <s v="P238"/>
    <s v="Twitter"/>
    <s v="2024-07-16"/>
    <x v="5"/>
    <s v="Check out our latest text on twitter!"/>
    <n v="4725"/>
    <n v="400"/>
    <n v="362"/>
    <n v="75600"/>
    <n v="74927"/>
    <n v="43"/>
    <s v="#FutureOfDriving"/>
    <m/>
    <m/>
    <x v="1"/>
    <n v="7.2579365079365077E-2"/>
    <x v="6"/>
    <m/>
  </r>
  <r>
    <s v="P189"/>
    <s v="Facebook"/>
    <s v="2025-03-24"/>
    <x v="1"/>
    <s v="Check out our latest reel on facebook!"/>
    <n v="3360"/>
    <n v="525"/>
    <n v="500"/>
    <n v="60480"/>
    <n v="59610"/>
    <n v="192"/>
    <s v="#TeslaCoInnovation"/>
    <m/>
    <m/>
    <x v="4"/>
    <n v="7.2503306878306875E-2"/>
    <x v="6"/>
    <m/>
  </r>
  <r>
    <s v="P039"/>
    <s v="Facebook"/>
    <s v="2024-11-25"/>
    <x v="4"/>
    <s v="Check out our latest image on facebook!"/>
    <n v="3564"/>
    <n v="629"/>
    <n v="177"/>
    <n v="60588"/>
    <n v="59627"/>
    <n v="92"/>
    <s v="#TeslaCoInnovation"/>
    <m/>
    <m/>
    <x v="0"/>
    <n v="7.2126493695121141E-2"/>
    <x v="6"/>
    <m/>
  </r>
  <r>
    <s v="P215"/>
    <s v="Facebook"/>
    <s v="2025-05-06"/>
    <x v="4"/>
    <s v="Check out our latest image on facebook!"/>
    <n v="4872"/>
    <n v="925"/>
    <n v="176"/>
    <n v="82824"/>
    <n v="82543"/>
    <n v="89"/>
    <s v="#EVRevolution"/>
    <m/>
    <m/>
    <x v="3"/>
    <n v="7.2116777745580993E-2"/>
    <x v="6"/>
    <m/>
  </r>
  <r>
    <s v="P024"/>
    <s v="Facebook"/>
    <s v="2025-01-23"/>
    <x v="2"/>
    <s v="Check out our latest video on facebook!"/>
    <n v="3961"/>
    <n v="761"/>
    <n v="131"/>
    <n v="67337"/>
    <n v="66615"/>
    <n v="161"/>
    <s v="#FutureOfDriving"/>
    <m/>
    <m/>
    <x v="2"/>
    <n v="7.2070332803659209E-2"/>
    <x v="6"/>
    <m/>
  </r>
  <r>
    <s v="P099"/>
    <s v="YouTube"/>
    <s v="2024-07-02"/>
    <x v="3"/>
    <s v="Check out our latest carousel on youtube!"/>
    <n v="4171"/>
    <n v="548"/>
    <n v="86"/>
    <n v="66736"/>
    <n v="66634"/>
    <n v="173"/>
    <s v="#FutureOfDriving"/>
    <m/>
    <m/>
    <x v="2"/>
    <n v="7.2000119875329657E-2"/>
    <x v="6"/>
    <m/>
  </r>
  <r>
    <s v="P010"/>
    <s v="Facebook"/>
    <s v="2025-03-11"/>
    <x v="4"/>
    <s v="Check out our latest image on facebook!"/>
    <n v="4241"/>
    <n v="902"/>
    <n v="47"/>
    <n v="72097"/>
    <n v="71598"/>
    <n v="167"/>
    <s v="#TeslaCoInnovation"/>
    <m/>
    <m/>
    <x v="3"/>
    <n v="7.198635172059864E-2"/>
    <x v="6"/>
    <m/>
  </r>
  <r>
    <s v="P291"/>
    <s v="Facebook"/>
    <s v="2024-11-06"/>
    <x v="2"/>
    <s v="Check out our latest video on facebook!"/>
    <n v="4663"/>
    <n v="145"/>
    <n v="225"/>
    <n v="69945"/>
    <n v="69596"/>
    <n v="35"/>
    <s v="#EVRevolution"/>
    <m/>
    <m/>
    <x v="1"/>
    <n v="7.1956537279290869E-2"/>
    <x v="6"/>
    <m/>
  </r>
  <r>
    <s v="P133"/>
    <s v="Facebook"/>
    <s v="2025-02-06"/>
    <x v="4"/>
    <s v="Check out our latest image on facebook!"/>
    <n v="2072"/>
    <n v="532"/>
    <n v="71"/>
    <n v="37296"/>
    <n v="36467"/>
    <n v="25"/>
    <s v="#TeslaCoInnovation"/>
    <m/>
    <m/>
    <x v="1"/>
    <n v="7.172350922350923E-2"/>
    <x v="6"/>
    <m/>
  </r>
  <r>
    <s v="P027"/>
    <s v="YouTube"/>
    <s v="2024-09-17"/>
    <x v="5"/>
    <s v="Check out our latest text on youtube!"/>
    <n v="2076"/>
    <n v="195"/>
    <n v="104"/>
    <n v="33216"/>
    <n v="32244"/>
    <n v="51"/>
    <s v="#FutureOfDriving"/>
    <m/>
    <m/>
    <x v="1"/>
    <n v="7.1501685934489398E-2"/>
    <x v="6"/>
    <m/>
  </r>
  <r>
    <s v="P134"/>
    <s v="Twitter"/>
    <s v="2025-04-24"/>
    <x v="1"/>
    <s v="Check out our latest reel on twitter!"/>
    <n v="3731"/>
    <n v="115"/>
    <n v="135"/>
    <n v="55965"/>
    <n v="55436"/>
    <n v="103"/>
    <s v="#TeslaCoInnovation"/>
    <m/>
    <m/>
    <x v="4"/>
    <n v="7.1133744304476013E-2"/>
    <x v="6"/>
    <m/>
  </r>
  <r>
    <s v="P090"/>
    <s v="Instagram"/>
    <s v="2024-06-03"/>
    <x v="4"/>
    <s v="Check out our latest image on instagram!"/>
    <n v="3861"/>
    <n v="960"/>
    <n v="101"/>
    <n v="69498"/>
    <n v="68817"/>
    <n v="297"/>
    <s v="#TeslaCoInnovation"/>
    <m/>
    <m/>
    <x v="1"/>
    <n v="7.0822181933293038E-2"/>
    <x v="6"/>
    <m/>
  </r>
  <r>
    <s v="P034"/>
    <s v="Facebook"/>
    <s v="2025-03-26"/>
    <x v="5"/>
    <s v="Check out our latest text on facebook!"/>
    <n v="1652"/>
    <n v="89"/>
    <n v="357"/>
    <n v="29736"/>
    <n v="28771"/>
    <n v="215"/>
    <s v="#TeslaCoInnovation"/>
    <m/>
    <m/>
    <x v="2"/>
    <n v="7.055421038471886E-2"/>
    <x v="6"/>
    <m/>
  </r>
  <r>
    <s v="P007"/>
    <s v="Twitter"/>
    <s v="2024-06-24"/>
    <x v="3"/>
    <s v="Check out our latest carousel on twitter!"/>
    <n v="3860"/>
    <n v="201"/>
    <n v="279"/>
    <n v="61760"/>
    <n v="61660"/>
    <n v="235"/>
    <s v="#TeslaCoInnovation"/>
    <m/>
    <m/>
    <x v="3"/>
    <n v="7.0272020725388601E-2"/>
    <x v="6"/>
    <m/>
  </r>
  <r>
    <s v="P142"/>
    <s v="YouTube"/>
    <s v="2025-03-25"/>
    <x v="0"/>
    <s v="Check out our latest story on youtube!"/>
    <n v="2070"/>
    <n v="275"/>
    <n v="386"/>
    <n v="39330"/>
    <n v="38627"/>
    <n v="114"/>
    <s v="#FutureOfDriving"/>
    <m/>
    <m/>
    <x v="1"/>
    <n v="6.9438087973557078E-2"/>
    <x v="6"/>
    <m/>
  </r>
  <r>
    <s v="P127"/>
    <s v="Facebook"/>
    <s v="2025-01-27"/>
    <x v="1"/>
    <s v="Check out our latest reel on facebook!"/>
    <n v="3452"/>
    <n v="652"/>
    <n v="442"/>
    <n v="65588"/>
    <n v="65049"/>
    <n v="158"/>
    <s v="#FutureOfDriving"/>
    <m/>
    <m/>
    <x v="2"/>
    <n v="6.9311459413307311E-2"/>
    <x v="6"/>
    <m/>
  </r>
  <r>
    <s v="P170"/>
    <s v="Twitter"/>
    <s v="2025-04-28"/>
    <x v="5"/>
    <s v="Check out our latest text on twitter!"/>
    <n v="3577"/>
    <n v="596"/>
    <n v="493"/>
    <n v="67963"/>
    <n v="67839"/>
    <n v="53"/>
    <s v="#TeslaCoInnovation"/>
    <m/>
    <m/>
    <x v="2"/>
    <n v="6.8655003457763777E-2"/>
    <x v="6"/>
    <m/>
  </r>
  <r>
    <s v="P095"/>
    <s v="Instagram"/>
    <s v="2024-11-08"/>
    <x v="5"/>
    <s v="Check out our latest text on instagram!"/>
    <n v="3182"/>
    <n v="559"/>
    <n v="160"/>
    <n v="57276"/>
    <n v="56890"/>
    <n v="163"/>
    <s v="#FutureOfDriving"/>
    <m/>
    <m/>
    <x v="1"/>
    <n v="6.8108806480899509E-2"/>
    <x v="6"/>
    <m/>
  </r>
  <r>
    <s v="P288"/>
    <s v="YouTube"/>
    <s v="2025-04-17"/>
    <x v="3"/>
    <s v="Check out our latest carousel on youtube!"/>
    <n v="4780"/>
    <n v="691"/>
    <n v="380"/>
    <n v="86040"/>
    <n v="85743"/>
    <n v="262"/>
    <s v="#FutureOfDriving"/>
    <m/>
    <m/>
    <x v="2"/>
    <n v="6.800325430032543E-2"/>
    <x v="6"/>
    <m/>
  </r>
  <r>
    <s v="P237"/>
    <s v="Instagram"/>
    <s v="2024-10-22"/>
    <x v="0"/>
    <s v="Check out our latest story on instagram!"/>
    <n v="3770"/>
    <n v="917"/>
    <n v="129"/>
    <n v="71630"/>
    <n v="71322"/>
    <n v="76"/>
    <s v="#FutureOfDriving"/>
    <m/>
    <m/>
    <x v="4"/>
    <n v="6.7234398994834563E-2"/>
    <x v="6"/>
    <m/>
  </r>
  <r>
    <s v="P270"/>
    <s v="YouTube"/>
    <s v="2025-01-15"/>
    <x v="1"/>
    <s v="Check out our latest reel on youtube!"/>
    <n v="3774"/>
    <n v="239"/>
    <n v="39"/>
    <n v="60384"/>
    <n v="59490"/>
    <n v="241"/>
    <s v="#TeslaCoInnovation"/>
    <m/>
    <m/>
    <x v="2"/>
    <n v="6.7103868574456813E-2"/>
    <x v="6"/>
    <m/>
  </r>
  <r>
    <s v="P005"/>
    <s v="YouTube"/>
    <s v="2024-06-26"/>
    <x v="1"/>
    <s v="Check out our latest reel on youtube!"/>
    <n v="3557"/>
    <n v="687"/>
    <n v="424"/>
    <n v="71140"/>
    <n v="70701"/>
    <n v="224"/>
    <s v="#EVRevolution"/>
    <s v="#TeslaCoInnovation"/>
    <m/>
    <x v="4"/>
    <n v="6.5617093055946027E-2"/>
    <x v="6"/>
    <m/>
  </r>
  <r>
    <s v="P086"/>
    <s v="YouTube"/>
    <s v="2025-01-27"/>
    <x v="5"/>
    <s v="Check out our latest text on youtube!"/>
    <n v="3428"/>
    <n v="305"/>
    <n v="85"/>
    <n v="58276"/>
    <n v="58052"/>
    <n v="242"/>
    <s v="#EVRevolution"/>
    <s v="#BetterWithTesla"/>
    <m/>
    <x v="1"/>
    <n v="6.5515821264328367E-2"/>
    <x v="6"/>
    <m/>
  </r>
  <r>
    <s v="P144"/>
    <s v="YouTube"/>
    <s v="2024-10-28"/>
    <x v="0"/>
    <s v="Check out our latest story on youtube!"/>
    <n v="4929"/>
    <n v="749"/>
    <n v="452"/>
    <n v="93651"/>
    <n v="92810"/>
    <n v="66"/>
    <s v="#EVRevolution"/>
    <m/>
    <m/>
    <x v="1"/>
    <n v="6.5455787978772245E-2"/>
    <x v="6"/>
    <m/>
  </r>
  <r>
    <s v="P197"/>
    <s v="Twitter"/>
    <s v="2024-10-22"/>
    <x v="1"/>
    <s v="Check out our latest reel on twitter!"/>
    <n v="4782"/>
    <n v="721"/>
    <n v="82"/>
    <n v="86076"/>
    <n v="85339"/>
    <n v="19"/>
    <s v="#EVRevolution"/>
    <m/>
    <m/>
    <x v="4"/>
    <n v="6.4884520656164318E-2"/>
    <x v="6"/>
    <m/>
  </r>
  <r>
    <s v="P135"/>
    <s v="Facebook"/>
    <s v="2024-11-28"/>
    <x v="5"/>
    <s v="Check out our latest text on facebook!"/>
    <n v="4213"/>
    <n v="253"/>
    <n v="434"/>
    <n v="75834"/>
    <n v="75437"/>
    <n v="272"/>
    <s v="#FutureOfDriving"/>
    <m/>
    <m/>
    <x v="1"/>
    <n v="6.461481657304112E-2"/>
    <x v="6"/>
    <m/>
  </r>
  <r>
    <s v="P073"/>
    <s v="Facebook"/>
    <s v="2024-10-18"/>
    <x v="0"/>
    <s v="Check out our latest story on facebook!"/>
    <n v="4126"/>
    <n v="426"/>
    <n v="486"/>
    <n v="78394"/>
    <n v="77798"/>
    <n v="88"/>
    <s v="#FutureOfDriving"/>
    <m/>
    <m/>
    <x v="1"/>
    <n v="6.4265122330790625E-2"/>
    <x v="6"/>
    <m/>
  </r>
  <r>
    <s v="P267"/>
    <s v="Twitter"/>
    <s v="2024-10-04"/>
    <x v="1"/>
    <s v="Check out our latest reel on twitter!"/>
    <n v="4187"/>
    <n v="66"/>
    <n v="31"/>
    <n v="66992"/>
    <n v="66614"/>
    <n v="62"/>
    <s v="#FutureOfDriving"/>
    <m/>
    <m/>
    <x v="0"/>
    <n v="6.3947934081681396E-2"/>
    <x v="6"/>
    <m/>
  </r>
  <r>
    <s v="P020"/>
    <s v="Instagram"/>
    <s v="2024-09-09"/>
    <x v="3"/>
    <s v="Check out our latest carousel on instagram!"/>
    <n v="4054"/>
    <n v="488"/>
    <n v="373"/>
    <n v="77026"/>
    <n v="76881"/>
    <n v="25"/>
    <s v="#TeslaCoInnovation"/>
    <m/>
    <m/>
    <x v="4"/>
    <n v="6.3809622724794221E-2"/>
    <x v="6"/>
    <m/>
  </r>
  <r>
    <s v="P067"/>
    <s v="Facebook"/>
    <s v="2025-03-29"/>
    <x v="3"/>
    <s v="Check out our latest carousel on facebook!"/>
    <n v="4712"/>
    <n v="568"/>
    <n v="127"/>
    <n v="84816"/>
    <n v="84691"/>
    <n v="100"/>
    <s v="#EVRevolution"/>
    <m/>
    <m/>
    <x v="2"/>
    <n v="6.3749764195434822E-2"/>
    <x v="6"/>
    <m/>
  </r>
  <r>
    <s v="P150"/>
    <s v="YouTube"/>
    <s v="2024-08-22"/>
    <x v="3"/>
    <s v="Check out our latest carousel on youtube!"/>
    <n v="4295"/>
    <n v="853"/>
    <n v="325"/>
    <n v="85900"/>
    <n v="85788"/>
    <n v="290"/>
    <s v="#TeslaCoInnovation"/>
    <m/>
    <m/>
    <x v="1"/>
    <n v="6.3713620488940623E-2"/>
    <x v="6"/>
    <m/>
  </r>
  <r>
    <s v="P281"/>
    <s v="YouTube"/>
    <s v="2025-03-22"/>
    <x v="4"/>
    <s v="Check out our latest image on youtube!"/>
    <n v="3166"/>
    <n v="90"/>
    <n v="341"/>
    <n v="56988"/>
    <n v="56125"/>
    <n v="135"/>
    <s v="#EVRevolution"/>
    <m/>
    <m/>
    <x v="3"/>
    <n v="6.3118551273952411E-2"/>
    <x v="6"/>
    <m/>
  </r>
  <r>
    <s v="P217"/>
    <s v="Facebook"/>
    <s v="2024-12-03"/>
    <x v="4"/>
    <s v="Check out our latest image on facebook!"/>
    <n v="4606"/>
    <n v="931"/>
    <n v="230"/>
    <n v="92120"/>
    <n v="91440"/>
    <n v="56"/>
    <s v="#TeslaCoInnovation"/>
    <m/>
    <m/>
    <x v="0"/>
    <n v="6.2603126356925748E-2"/>
    <x v="6"/>
    <m/>
  </r>
  <r>
    <s v="P200"/>
    <s v="Facebook"/>
    <s v="2025-04-07"/>
    <x v="1"/>
    <s v="Check out our latest reel on facebook!"/>
    <n v="3718"/>
    <n v="385"/>
    <n v="310"/>
    <n v="70642"/>
    <n v="69749"/>
    <n v="233"/>
    <s v="#TeslaCoInnovation"/>
    <m/>
    <m/>
    <x v="3"/>
    <n v="6.246991874522239E-2"/>
    <x v="6"/>
    <m/>
  </r>
  <r>
    <s v="P107"/>
    <s v="YouTube"/>
    <s v="2024-06-21"/>
    <x v="4"/>
    <s v="Check out our latest image on youtube!"/>
    <n v="4832"/>
    <n v="893"/>
    <n v="10"/>
    <n v="91808"/>
    <n v="91296"/>
    <n v="182"/>
    <s v="#TeslaCoInnovation"/>
    <m/>
    <m/>
    <x v="0"/>
    <n v="6.2467323109097243E-2"/>
    <x v="6"/>
    <m/>
  </r>
  <r>
    <s v="P115"/>
    <s v="Twitter"/>
    <s v="2025-05-11"/>
    <x v="4"/>
    <s v="Check out our latest image on twitter!"/>
    <n v="2493"/>
    <n v="97"/>
    <n v="44"/>
    <n v="42381"/>
    <n v="41991"/>
    <n v="242"/>
    <s v="#TeslaCoInnovation"/>
    <s v="#AnytimeIsTeslaTime"/>
    <m/>
    <x v="1"/>
    <n v="6.2150491965739366E-2"/>
    <x v="6"/>
    <m/>
  </r>
  <r>
    <s v="P223"/>
    <s v="Twitter"/>
    <s v="2024-11-12"/>
    <x v="4"/>
    <s v="Check out our latest image on twitter!"/>
    <n v="3338"/>
    <n v="277"/>
    <n v="118"/>
    <n v="60084"/>
    <n v="59842"/>
    <n v="252"/>
    <s v="#TeslaCoInnovation"/>
    <m/>
    <m/>
    <x v="0"/>
    <n v="6.2129685107516146E-2"/>
    <x v="6"/>
    <m/>
  </r>
  <r>
    <s v="P279"/>
    <s v="YouTube"/>
    <s v="2024-09-02"/>
    <x v="4"/>
    <s v="Check out our latest image on youtube!"/>
    <n v="4905"/>
    <n v="845"/>
    <n v="129"/>
    <n v="98100"/>
    <n v="97772"/>
    <n v="279"/>
    <s v="#TeslaCoInnovation"/>
    <m/>
    <m/>
    <x v="3"/>
    <n v="5.9928644240570844E-2"/>
    <x v="6"/>
    <m/>
  </r>
  <r>
    <s v="P025"/>
    <s v="Twitter"/>
    <s v="2025-04-10"/>
    <x v="3"/>
    <s v="Check out our latest carousel on twitter!"/>
    <n v="3128"/>
    <n v="211"/>
    <n v="197"/>
    <n v="59432"/>
    <n v="59182"/>
    <n v="238"/>
    <s v="#EVRevolution"/>
    <m/>
    <m/>
    <x v="0"/>
    <n v="5.9496567505720827E-2"/>
    <x v="6"/>
    <m/>
  </r>
  <r>
    <s v="P015"/>
    <s v="Facebook"/>
    <s v="2024-10-24"/>
    <x v="2"/>
    <s v="Check out our latest video on facebook!"/>
    <n v="3888"/>
    <n v="604"/>
    <n v="128"/>
    <n v="77760"/>
    <n v="77167"/>
    <n v="20"/>
    <s v="#FutureOfDriving"/>
    <m/>
    <m/>
    <x v="4"/>
    <n v="5.941358024691358E-2"/>
    <x v="6"/>
    <m/>
  </r>
  <r>
    <s v="P296"/>
    <s v="Twitter"/>
    <s v="2025-02-11"/>
    <x v="2"/>
    <s v="Check out our latest video on twitter!"/>
    <n v="3440"/>
    <n v="13"/>
    <n v="20"/>
    <n v="58480"/>
    <n v="58146"/>
    <n v="210"/>
    <s v="#TeslaCoInnovation"/>
    <s v="#SmoothLikeNitroTesla"/>
    <m/>
    <x v="1"/>
    <n v="5.9387824897400819E-2"/>
    <x v="6"/>
    <m/>
  </r>
  <r>
    <s v="P298"/>
    <s v="Facebook"/>
    <s v="2024-10-24"/>
    <x v="4"/>
    <s v="Check out our latest image on facebook!"/>
    <n v="4303"/>
    <n v="451"/>
    <n v="286"/>
    <n v="86060"/>
    <n v="85823"/>
    <n v="14"/>
    <s v="#TeslaCoInnovation"/>
    <m/>
    <m/>
    <x v="2"/>
    <n v="5.8563792702765516E-2"/>
    <x v="6"/>
    <m/>
  </r>
  <r>
    <s v="P216"/>
    <s v="YouTube"/>
    <s v="2024-07-29"/>
    <x v="0"/>
    <s v="Check out our latest story on youtube!"/>
    <n v="1509"/>
    <n v="88"/>
    <n v="163"/>
    <n v="30180"/>
    <n v="29689"/>
    <n v="119"/>
    <s v="#EVRevolution"/>
    <m/>
    <m/>
    <x v="3"/>
    <n v="5.8316766070245198E-2"/>
    <x v="6"/>
    <m/>
  </r>
  <r>
    <s v="P283"/>
    <s v="Twitter"/>
    <s v="2025-05-09"/>
    <x v="1"/>
    <s v="Check out our latest reel on twitter!"/>
    <n v="3367"/>
    <n v="302"/>
    <n v="57"/>
    <n v="63973"/>
    <n v="63789"/>
    <n v="157"/>
    <s v="#FutureOfDriving"/>
    <m/>
    <m/>
    <x v="3"/>
    <n v="5.8243321401216137E-2"/>
    <x v="6"/>
    <m/>
  </r>
  <r>
    <s v="P256"/>
    <s v="YouTube"/>
    <s v="2024-09-18"/>
    <x v="3"/>
    <s v="Check out our latest carousel on youtube!"/>
    <n v="2143"/>
    <n v="12"/>
    <n v="204"/>
    <n v="40717"/>
    <n v="40125"/>
    <n v="248"/>
    <s v="#EVRevolution"/>
    <m/>
    <m/>
    <x v="3"/>
    <n v="5.7936488444630008E-2"/>
    <x v="6"/>
    <m/>
  </r>
  <r>
    <s v="P030"/>
    <s v="Instagram"/>
    <s v="2025-02-25"/>
    <x v="2"/>
    <s v="Check out our latest video on instagram!"/>
    <n v="3095"/>
    <n v="39"/>
    <n v="78"/>
    <n v="55710"/>
    <n v="54808"/>
    <n v="93"/>
    <s v="#EVRevolution"/>
    <m/>
    <m/>
    <x v="0"/>
    <n v="5.7655717106444085E-2"/>
    <x v="6"/>
    <m/>
  </r>
  <r>
    <s v="P203"/>
    <s v="Instagram"/>
    <s v="2024-11-21"/>
    <x v="3"/>
    <s v="Check out our latest carousel on instagram!"/>
    <n v="3773"/>
    <n v="299"/>
    <n v="38"/>
    <n v="71687"/>
    <n v="71447"/>
    <n v="286"/>
    <s v="#FutureOfDriving"/>
    <m/>
    <m/>
    <x v="4"/>
    <n v="5.7332570758993957E-2"/>
    <x v="6"/>
    <m/>
  </r>
  <r>
    <s v="P225"/>
    <s v="Twitter"/>
    <s v="2024-06-20"/>
    <x v="3"/>
    <s v="Check out our latest carousel on twitter!"/>
    <n v="4672"/>
    <n v="325"/>
    <n v="32"/>
    <n v="88768"/>
    <n v="87833"/>
    <n v="118"/>
    <s v="#EVRevolution"/>
    <m/>
    <m/>
    <x v="0"/>
    <n v="5.6653298485940883E-2"/>
    <x v="6"/>
    <m/>
  </r>
  <r>
    <s v="P145"/>
    <s v="Instagram"/>
    <s v="2024-08-12"/>
    <x v="3"/>
    <s v="Check out our latest carousel on instagram!"/>
    <n v="1878"/>
    <n v="62"/>
    <n v="179"/>
    <n v="37560"/>
    <n v="36874"/>
    <n v="142"/>
    <s v="#TeslaCoInnovation"/>
    <m/>
    <m/>
    <x v="1"/>
    <n v="5.6416400425985093E-2"/>
    <x v="6"/>
    <m/>
  </r>
  <r>
    <s v="P190"/>
    <s v="YouTube"/>
    <s v="2024-10-04"/>
    <x v="5"/>
    <s v="Check out our latest text on youtube!"/>
    <n v="1963"/>
    <n v="213"/>
    <n v="19"/>
    <n v="39260"/>
    <n v="38771"/>
    <n v="145"/>
    <s v="#FutureOfDriving"/>
    <m/>
    <m/>
    <x v="0"/>
    <n v="5.5909322465613857E-2"/>
    <x v="6"/>
    <m/>
  </r>
  <r>
    <s v="P003"/>
    <s v="YouTube"/>
    <s v="2025-05-12"/>
    <x v="1"/>
    <s v="Check out our latest reel on youtube!"/>
    <n v="2795"/>
    <n v="105"/>
    <n v="49"/>
    <n v="53105"/>
    <n v="52307"/>
    <n v="204"/>
    <s v="#TeslaCoInnovation"/>
    <m/>
    <m/>
    <x v="2"/>
    <n v="5.5531494209584788E-2"/>
    <x v="6"/>
    <m/>
  </r>
  <r>
    <s v="P176"/>
    <s v="Facebook"/>
    <s v="2024-06-20"/>
    <x v="2"/>
    <s v="Check out our latest video on facebook!"/>
    <n v="3798"/>
    <n v="31"/>
    <n v="279"/>
    <n v="75960"/>
    <n v="75813"/>
    <n v="266"/>
    <s v="#TeslaCoInnovation"/>
    <m/>
    <m/>
    <x v="4"/>
    <n v="5.4081095313322801E-2"/>
    <x v="6"/>
    <m/>
  </r>
  <r>
    <s v="P063"/>
    <s v="Twitter"/>
    <s v="2024-07-31"/>
    <x v="3"/>
    <s v="Check out our latest carousel on twitter!"/>
    <n v="4507"/>
    <n v="217"/>
    <n v="13"/>
    <n v="90140"/>
    <n v="89591"/>
    <n v="125"/>
    <s v="#FutureOfDriving"/>
    <m/>
    <m/>
    <x v="2"/>
    <n v="5.2551586421122697E-2"/>
    <x v="6"/>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x v="0"/>
  </r>
  <r>
    <x v="0"/>
    <x v="1"/>
    <n v="1312"/>
    <n v="310"/>
    <n v="42654"/>
    <n v="4.9800000000000004"/>
    <n v="9566"/>
    <n v="1002"/>
    <x v="0"/>
  </r>
  <r>
    <x v="0"/>
    <x v="2"/>
    <n v="584"/>
    <n v="169"/>
    <n v="146834"/>
    <n v="8.31"/>
    <n v="26752"/>
    <n v="415"/>
    <x v="0"/>
  </r>
  <r>
    <x v="0"/>
    <x v="3"/>
    <n v="1535"/>
    <n v="445"/>
    <n v="395536"/>
    <n v="4.1100000000000003"/>
    <n v="30671"/>
    <n v="1090"/>
    <x v="0"/>
  </r>
  <r>
    <x v="1"/>
    <x v="0"/>
    <n v="656"/>
    <n v="139"/>
    <n v="49157"/>
    <n v="9.0500000000000007"/>
    <n v="9920"/>
    <n v="517"/>
    <x v="0"/>
  </r>
  <r>
    <x v="1"/>
    <x v="1"/>
    <n v="1697"/>
    <n v="414"/>
    <n v="316555"/>
    <n v="2.37"/>
    <n v="7924"/>
    <n v="1283"/>
    <x v="0"/>
  </r>
  <r>
    <x v="1"/>
    <x v="2"/>
    <n v="436"/>
    <n v="250"/>
    <n v="254347"/>
    <n v="4.01"/>
    <n v="8912"/>
    <n v="186"/>
    <x v="0"/>
  </r>
  <r>
    <x v="1"/>
    <x v="3"/>
    <n v="1197"/>
    <n v="203"/>
    <n v="413878"/>
    <n v="3.16"/>
    <n v="21205"/>
    <n v="994"/>
    <x v="0"/>
  </r>
  <r>
    <x v="2"/>
    <x v="0"/>
    <n v="1048"/>
    <n v="155"/>
    <n v="456946"/>
    <n v="2.46"/>
    <n v="11329"/>
    <n v="893"/>
    <x v="1"/>
  </r>
  <r>
    <x v="2"/>
    <x v="1"/>
    <n v="1753"/>
    <n v="371"/>
    <n v="169496"/>
    <n v="8.11"/>
    <n v="46670"/>
    <n v="1382"/>
    <x v="1"/>
  </r>
  <r>
    <x v="2"/>
    <x v="2"/>
    <n v="1335"/>
    <n v="40"/>
    <n v="122732"/>
    <n v="8.19"/>
    <n v="22482"/>
    <n v="1295"/>
    <x v="1"/>
  </r>
  <r>
    <x v="2"/>
    <x v="3"/>
    <n v="403"/>
    <n v="66"/>
    <n v="382851"/>
    <n v="3.49"/>
    <n v="24313"/>
    <n v="337"/>
    <x v="1"/>
  </r>
  <r>
    <x v="3"/>
    <x v="0"/>
    <n v="911"/>
    <n v="282"/>
    <n v="35664"/>
    <n v="6.92"/>
    <n v="18050"/>
    <n v="629"/>
    <x v="1"/>
  </r>
  <r>
    <x v="3"/>
    <x v="1"/>
    <n v="1779"/>
    <n v="109"/>
    <n v="26295"/>
    <n v="9.1199999999999992"/>
    <n v="30635"/>
    <n v="1670"/>
    <x v="1"/>
  </r>
  <r>
    <x v="3"/>
    <x v="2"/>
    <n v="1238"/>
    <n v="403"/>
    <n v="298421"/>
    <n v="3.5"/>
    <n v="31280"/>
    <n v="835"/>
    <x v="1"/>
  </r>
  <r>
    <x v="3"/>
    <x v="3"/>
    <n v="308"/>
    <n v="431"/>
    <n v="426184"/>
    <n v="2.62"/>
    <n v="1783"/>
    <n v="-123"/>
    <x v="1"/>
  </r>
  <r>
    <x v="4"/>
    <x v="0"/>
    <n v="226"/>
    <n v="445"/>
    <n v="419447"/>
    <n v="9.36"/>
    <n v="9566"/>
    <n v="-219"/>
    <x v="1"/>
  </r>
  <r>
    <x v="4"/>
    <x v="1"/>
    <n v="505"/>
    <n v="441"/>
    <n v="220020"/>
    <n v="4.4800000000000004"/>
    <n v="42307"/>
    <n v="64"/>
    <x v="1"/>
  </r>
  <r>
    <x v="4"/>
    <x v="2"/>
    <n v="1420"/>
    <n v="63"/>
    <n v="315305"/>
    <n v="6.19"/>
    <n v="5914"/>
    <n v="1357"/>
    <x v="1"/>
  </r>
  <r>
    <x v="4"/>
    <x v="3"/>
    <n v="144"/>
    <n v="53"/>
    <n v="113678"/>
    <n v="8.7200000000000006"/>
    <n v="30060"/>
    <n v="91"/>
    <x v="1"/>
  </r>
  <r>
    <x v="5"/>
    <x v="0"/>
    <n v="1757"/>
    <n v="85"/>
    <n v="58223"/>
    <n v="8.74"/>
    <n v="22728"/>
    <n v="1672"/>
    <x v="1"/>
  </r>
  <r>
    <x v="5"/>
    <x v="1"/>
    <n v="350"/>
    <n v="41"/>
    <n v="251694"/>
    <n v="1.91"/>
    <n v="38610"/>
    <n v="309"/>
    <x v="1"/>
  </r>
  <r>
    <x v="5"/>
    <x v="2"/>
    <n v="987"/>
    <n v="440"/>
    <n v="389810"/>
    <n v="4.66"/>
    <n v="2932"/>
    <n v="547"/>
    <x v="1"/>
  </r>
  <r>
    <x v="5"/>
    <x v="3"/>
    <n v="883"/>
    <n v="369"/>
    <n v="233694"/>
    <n v="2.88"/>
    <n v="15071"/>
    <n v="514"/>
    <x v="1"/>
  </r>
  <r>
    <x v="6"/>
    <x v="0"/>
    <n v="1960"/>
    <n v="115"/>
    <n v="154169"/>
    <n v="3.74"/>
    <n v="10740"/>
    <n v="1845"/>
    <x v="1"/>
  </r>
  <r>
    <x v="6"/>
    <x v="1"/>
    <n v="170"/>
    <n v="334"/>
    <n v="334626"/>
    <n v="6.44"/>
    <n v="43420"/>
    <n v="-164"/>
    <x v="1"/>
  </r>
  <r>
    <x v="6"/>
    <x v="2"/>
    <n v="704"/>
    <n v="275"/>
    <n v="226002"/>
    <n v="8.56"/>
    <n v="32393"/>
    <n v="429"/>
    <x v="1"/>
  </r>
  <r>
    <x v="6"/>
    <x v="3"/>
    <n v="224"/>
    <n v="64"/>
    <n v="156683"/>
    <n v="4.5599999999999996"/>
    <n v="28474"/>
    <n v="160"/>
    <x v="1"/>
  </r>
  <r>
    <x v="7"/>
    <x v="0"/>
    <n v="508"/>
    <n v="349"/>
    <n v="473812"/>
    <n v="7.88"/>
    <n v="17328"/>
    <n v="159"/>
    <x v="0"/>
  </r>
  <r>
    <x v="7"/>
    <x v="1"/>
    <n v="1391"/>
    <n v="430"/>
    <n v="295032"/>
    <n v="7.86"/>
    <n v="26067"/>
    <n v="961"/>
    <x v="0"/>
  </r>
  <r>
    <x v="7"/>
    <x v="2"/>
    <n v="1701"/>
    <n v="385"/>
    <n v="198278"/>
    <n v="5.34"/>
    <n v="32763"/>
    <n v="1316"/>
    <x v="0"/>
  </r>
  <r>
    <x v="7"/>
    <x v="3"/>
    <n v="804"/>
    <n v="487"/>
    <n v="306564"/>
    <n v="5.52"/>
    <n v="26452"/>
    <n v="317"/>
    <x v="0"/>
  </r>
  <r>
    <x v="8"/>
    <x v="0"/>
    <n v="653"/>
    <n v="112"/>
    <n v="23664"/>
    <n v="4.05"/>
    <n v="15353"/>
    <n v="541"/>
    <x v="0"/>
  </r>
  <r>
    <x v="8"/>
    <x v="1"/>
    <n v="160"/>
    <n v="478"/>
    <n v="435034"/>
    <n v="7.73"/>
    <n v="4839"/>
    <n v="-318"/>
    <x v="0"/>
  </r>
  <r>
    <x v="8"/>
    <x v="2"/>
    <n v="1756"/>
    <n v="261"/>
    <n v="287574"/>
    <n v="4.3600000000000003"/>
    <n v="39272"/>
    <n v="1495"/>
    <x v="0"/>
  </r>
  <r>
    <x v="8"/>
    <x v="3"/>
    <n v="576"/>
    <n v="101"/>
    <n v="62499"/>
    <n v="3.48"/>
    <n v="16804"/>
    <n v="475"/>
    <x v="0"/>
  </r>
  <r>
    <x v="9"/>
    <x v="0"/>
    <n v="645"/>
    <n v="293"/>
    <n v="437968"/>
    <n v="7.83"/>
    <n v="49303"/>
    <n v="352"/>
    <x v="0"/>
  </r>
  <r>
    <x v="9"/>
    <x v="1"/>
    <n v="214"/>
    <n v="411"/>
    <n v="125034"/>
    <n v="6.11"/>
    <n v="26455"/>
    <n v="-197"/>
    <x v="0"/>
  </r>
  <r>
    <x v="9"/>
    <x v="2"/>
    <n v="826"/>
    <n v="498"/>
    <n v="449994"/>
    <n v="9.43"/>
    <n v="12384"/>
    <n v="328"/>
    <x v="0"/>
  </r>
  <r>
    <x v="9"/>
    <x v="3"/>
    <n v="460"/>
    <n v="141"/>
    <n v="320650"/>
    <n v="4.04"/>
    <n v="49372"/>
    <n v="319"/>
    <x v="0"/>
  </r>
  <r>
    <x v="10"/>
    <x v="0"/>
    <n v="1528"/>
    <n v="203"/>
    <n v="489188"/>
    <n v="6.23"/>
    <n v="47101"/>
    <n v="1325"/>
    <x v="0"/>
  </r>
  <r>
    <x v="10"/>
    <x v="1"/>
    <n v="1534"/>
    <n v="200"/>
    <n v="307612"/>
    <n v="6.01"/>
    <n v="37903"/>
    <n v="1334"/>
    <x v="0"/>
  </r>
  <r>
    <x v="10"/>
    <x v="2"/>
    <n v="485"/>
    <n v="448"/>
    <n v="434883"/>
    <n v="8.5500000000000007"/>
    <n v="33258"/>
    <n v="37"/>
    <x v="0"/>
  </r>
  <r>
    <x v="10"/>
    <x v="3"/>
    <n v="1210"/>
    <n v="178"/>
    <n v="102042"/>
    <n v="5.42"/>
    <n v="6915"/>
    <n v="1032"/>
    <x v="0"/>
  </r>
  <r>
    <x v="11"/>
    <x v="0"/>
    <n v="215"/>
    <n v="139"/>
    <n v="325444"/>
    <n v="3.25"/>
    <n v="35501"/>
    <n v="76"/>
    <x v="0"/>
  </r>
  <r>
    <x v="11"/>
    <x v="1"/>
    <n v="1078"/>
    <n v="20"/>
    <n v="183924"/>
    <n v="8.84"/>
    <n v="14203"/>
    <n v="1058"/>
    <x v="0"/>
  </r>
  <r>
    <x v="11"/>
    <x v="2"/>
    <n v="1751"/>
    <n v="86"/>
    <n v="188655"/>
    <n v="7.24"/>
    <n v="22206"/>
    <n v="1665"/>
    <x v="0"/>
  </r>
  <r>
    <x v="11"/>
    <x v="3"/>
    <n v="221"/>
    <n v="31"/>
    <n v="87443"/>
    <n v="6.19"/>
    <n v="10283"/>
    <n v="190"/>
    <x v="0"/>
  </r>
  <r>
    <x v="12"/>
    <x v="0"/>
    <n v="1685"/>
    <n v="76"/>
    <n v="453799"/>
    <n v="5.71"/>
    <n v="24913"/>
    <n v="1609"/>
    <x v="0"/>
  </r>
  <r>
    <x v="12"/>
    <x v="1"/>
    <n v="248"/>
    <n v="211"/>
    <n v="379380"/>
    <n v="9.0399999999999991"/>
    <n v="26925"/>
    <n v="37"/>
    <x v="0"/>
  </r>
  <r>
    <x v="12"/>
    <x v="2"/>
    <n v="1300"/>
    <n v="71"/>
    <n v="186454"/>
    <n v="3.91"/>
    <n v="9942"/>
    <n v="1229"/>
    <x v="0"/>
  </r>
  <r>
    <x v="12"/>
    <x v="3"/>
    <n v="422"/>
    <n v="394"/>
    <n v="239044"/>
    <n v="7.83"/>
    <n v="32929"/>
    <n v="28"/>
    <x v="0"/>
  </r>
  <r>
    <x v="13"/>
    <x v="0"/>
    <n v="1429"/>
    <n v="182"/>
    <n v="101332"/>
    <n v="7.16"/>
    <n v="37829"/>
    <n v="1247"/>
    <x v="0"/>
  </r>
  <r>
    <x v="13"/>
    <x v="1"/>
    <n v="1520"/>
    <n v="475"/>
    <n v="496982"/>
    <n v="6.41"/>
    <n v="24384"/>
    <n v="1045"/>
    <x v="0"/>
  </r>
  <r>
    <x v="13"/>
    <x v="2"/>
    <n v="557"/>
    <n v="360"/>
    <n v="318779"/>
    <n v="8.02"/>
    <n v="25797"/>
    <n v="197"/>
    <x v="0"/>
  </r>
  <r>
    <x v="13"/>
    <x v="3"/>
    <n v="728"/>
    <n v="395"/>
    <n v="370971"/>
    <n v="3.86"/>
    <n v="12646"/>
    <n v="333"/>
    <x v="0"/>
  </r>
  <r>
    <x v="14"/>
    <x v="0"/>
    <n v="1592"/>
    <n v="20"/>
    <n v="378054"/>
    <n v="9.09"/>
    <n v="26663"/>
    <n v="1572"/>
    <x v="0"/>
  </r>
  <r>
    <x v="14"/>
    <x v="1"/>
    <n v="1842"/>
    <n v="414"/>
    <n v="307524"/>
    <n v="1.76"/>
    <n v="40478"/>
    <n v="1428"/>
    <x v="0"/>
  </r>
  <r>
    <x v="14"/>
    <x v="2"/>
    <n v="751"/>
    <n v="491"/>
    <n v="434047"/>
    <n v="9.24"/>
    <n v="15476"/>
    <n v="260"/>
    <x v="0"/>
  </r>
  <r>
    <x v="14"/>
    <x v="3"/>
    <n v="1409"/>
    <n v="309"/>
    <n v="64583"/>
    <n v="8.99"/>
    <n v="10217"/>
    <n v="1100"/>
    <x v="0"/>
  </r>
  <r>
    <x v="15"/>
    <x v="0"/>
    <n v="778"/>
    <n v="401"/>
    <n v="50793"/>
    <n v="3.4"/>
    <n v="21939"/>
    <n v="377"/>
    <x v="0"/>
  </r>
  <r>
    <x v="15"/>
    <x v="1"/>
    <n v="443"/>
    <n v="345"/>
    <n v="474162"/>
    <n v="9.1999999999999993"/>
    <n v="47462"/>
    <n v="98"/>
    <x v="0"/>
  </r>
  <r>
    <x v="15"/>
    <x v="2"/>
    <n v="1472"/>
    <n v="347"/>
    <n v="392355"/>
    <n v="8.59"/>
    <n v="30270"/>
    <n v="1125"/>
    <x v="0"/>
  </r>
  <r>
    <x v="15"/>
    <x v="3"/>
    <n v="123"/>
    <n v="155"/>
    <n v="119934"/>
    <n v="3.5"/>
    <n v="5442"/>
    <n v="-32"/>
    <x v="0"/>
  </r>
  <r>
    <x v="16"/>
    <x v="0"/>
    <n v="817"/>
    <n v="151"/>
    <n v="422625"/>
    <n v="2.36"/>
    <n v="1083"/>
    <n v="666"/>
    <x v="0"/>
  </r>
  <r>
    <x v="16"/>
    <x v="1"/>
    <n v="198"/>
    <n v="217"/>
    <n v="239753"/>
    <n v="7.36"/>
    <n v="11901"/>
    <n v="-19"/>
    <x v="0"/>
  </r>
  <r>
    <x v="16"/>
    <x v="2"/>
    <n v="1911"/>
    <n v="231"/>
    <n v="268516"/>
    <n v="8.5500000000000007"/>
    <n v="24018"/>
    <n v="1680"/>
    <x v="0"/>
  </r>
  <r>
    <x v="16"/>
    <x v="3"/>
    <n v="1218"/>
    <n v="212"/>
    <n v="63177"/>
    <n v="8.1300000000000008"/>
    <n v="38883"/>
    <n v="1006"/>
    <x v="0"/>
  </r>
  <r>
    <x v="17"/>
    <x v="0"/>
    <n v="1433"/>
    <n v="408"/>
    <n v="370269"/>
    <n v="3.3"/>
    <n v="30575"/>
    <n v="1025"/>
    <x v="0"/>
  </r>
  <r>
    <x v="17"/>
    <x v="1"/>
    <n v="250"/>
    <n v="429"/>
    <n v="453423"/>
    <n v="1.77"/>
    <n v="2315"/>
    <n v="-179"/>
    <x v="0"/>
  </r>
  <r>
    <x v="17"/>
    <x v="2"/>
    <n v="752"/>
    <n v="153"/>
    <n v="64906"/>
    <n v="2.09"/>
    <n v="12148"/>
    <n v="599"/>
    <x v="0"/>
  </r>
  <r>
    <x v="17"/>
    <x v="3"/>
    <n v="1918"/>
    <n v="212"/>
    <n v="94360"/>
    <n v="7.36"/>
    <n v="36851"/>
    <n v="1706"/>
    <x v="0"/>
  </r>
  <r>
    <x v="18"/>
    <x v="0"/>
    <n v="1939"/>
    <n v="67"/>
    <n v="187183"/>
    <n v="6.25"/>
    <n v="41215"/>
    <n v="1872"/>
    <x v="2"/>
  </r>
  <r>
    <x v="18"/>
    <x v="1"/>
    <n v="1929"/>
    <n v="267"/>
    <n v="379363"/>
    <n v="1.75"/>
    <n v="43836"/>
    <n v="1662"/>
    <x v="2"/>
  </r>
  <r>
    <x v="18"/>
    <x v="2"/>
    <n v="437"/>
    <n v="330"/>
    <n v="476486"/>
    <n v="4.97"/>
    <n v="4509"/>
    <n v="107"/>
    <x v="2"/>
  </r>
  <r>
    <x v="18"/>
    <x v="3"/>
    <n v="307"/>
    <n v="189"/>
    <n v="117767"/>
    <n v="9.3000000000000007"/>
    <n v="27822"/>
    <n v="118"/>
    <x v="2"/>
  </r>
  <r>
    <x v="19"/>
    <x v="0"/>
    <n v="1527"/>
    <n v="303"/>
    <n v="388555"/>
    <n v="8.9"/>
    <n v="36397"/>
    <n v="1224"/>
    <x v="2"/>
  </r>
  <r>
    <x v="19"/>
    <x v="1"/>
    <n v="643"/>
    <n v="358"/>
    <n v="157599"/>
    <n v="3.88"/>
    <n v="7285"/>
    <n v="285"/>
    <x v="2"/>
  </r>
  <r>
    <x v="19"/>
    <x v="2"/>
    <n v="201"/>
    <n v="221"/>
    <n v="309772"/>
    <n v="5.9"/>
    <n v="33174"/>
    <n v="-20"/>
    <x v="2"/>
  </r>
  <r>
    <x v="19"/>
    <x v="3"/>
    <n v="414"/>
    <n v="47"/>
    <n v="199178"/>
    <n v="1.53"/>
    <n v="6742"/>
    <n v="367"/>
    <x v="2"/>
  </r>
  <r>
    <x v="20"/>
    <x v="0"/>
    <n v="703"/>
    <n v="441"/>
    <n v="357089"/>
    <n v="6.5"/>
    <n v="32478"/>
    <n v="262"/>
    <x v="2"/>
  </r>
  <r>
    <x v="20"/>
    <x v="1"/>
    <n v="508"/>
    <n v="69"/>
    <n v="23492"/>
    <n v="3.16"/>
    <n v="42824"/>
    <n v="439"/>
    <x v="2"/>
  </r>
  <r>
    <x v="20"/>
    <x v="2"/>
    <n v="697"/>
    <n v="61"/>
    <n v="258287"/>
    <n v="8.25"/>
    <n v="21208"/>
    <n v="636"/>
    <x v="2"/>
  </r>
  <r>
    <x v="20"/>
    <x v="3"/>
    <n v="1707"/>
    <n v="223"/>
    <n v="256910"/>
    <n v="5.41"/>
    <n v="44321"/>
    <n v="1484"/>
    <x v="2"/>
  </r>
  <r>
    <x v="21"/>
    <x v="0"/>
    <n v="642"/>
    <n v="66"/>
    <n v="346522"/>
    <n v="5.85"/>
    <n v="13116"/>
    <n v="576"/>
    <x v="2"/>
  </r>
  <r>
    <x v="21"/>
    <x v="1"/>
    <n v="859"/>
    <n v="473"/>
    <n v="209987"/>
    <n v="4.46"/>
    <n v="30214"/>
    <n v="386"/>
    <x v="2"/>
  </r>
  <r>
    <x v="21"/>
    <x v="2"/>
    <n v="191"/>
    <n v="154"/>
    <n v="240550"/>
    <n v="5.22"/>
    <n v="15827"/>
    <n v="37"/>
    <x v="2"/>
  </r>
  <r>
    <x v="21"/>
    <x v="3"/>
    <n v="1814"/>
    <n v="157"/>
    <n v="305827"/>
    <n v="1.99"/>
    <n v="46643"/>
    <n v="1657"/>
    <x v="2"/>
  </r>
  <r>
    <x v="22"/>
    <x v="0"/>
    <n v="1466"/>
    <n v="69"/>
    <n v="54935"/>
    <n v="6.85"/>
    <n v="36484"/>
    <n v="1397"/>
    <x v="0"/>
  </r>
  <r>
    <x v="22"/>
    <x v="1"/>
    <n v="947"/>
    <n v="407"/>
    <n v="319186"/>
    <n v="3.32"/>
    <n v="4996"/>
    <n v="540"/>
    <x v="0"/>
  </r>
  <r>
    <x v="22"/>
    <x v="2"/>
    <n v="1821"/>
    <n v="218"/>
    <n v="439080"/>
    <n v="5.68"/>
    <n v="36095"/>
    <n v="1603"/>
    <x v="0"/>
  </r>
  <r>
    <x v="22"/>
    <x v="3"/>
    <n v="1507"/>
    <n v="463"/>
    <n v="258944"/>
    <n v="6.08"/>
    <n v="16443"/>
    <n v="1044"/>
    <x v="0"/>
  </r>
  <r>
    <x v="23"/>
    <x v="0"/>
    <n v="1075"/>
    <n v="173"/>
    <n v="51395"/>
    <n v="4.66"/>
    <n v="47812"/>
    <n v="902"/>
    <x v="0"/>
  </r>
  <r>
    <x v="23"/>
    <x v="1"/>
    <n v="171"/>
    <n v="277"/>
    <n v="309483"/>
    <n v="8.6999999999999993"/>
    <n v="38452"/>
    <n v="-106"/>
    <x v="0"/>
  </r>
  <r>
    <x v="23"/>
    <x v="2"/>
    <n v="1487"/>
    <n v="337"/>
    <n v="87305"/>
    <n v="2.46"/>
    <n v="30428"/>
    <n v="1150"/>
    <x v="0"/>
  </r>
  <r>
    <x v="23"/>
    <x v="3"/>
    <n v="454"/>
    <n v="105"/>
    <n v="121091"/>
    <n v="7.97"/>
    <n v="9269"/>
    <n v="349"/>
    <x v="0"/>
  </r>
  <r>
    <x v="24"/>
    <x v="0"/>
    <n v="187"/>
    <n v="236"/>
    <n v="51087"/>
    <n v="9.41"/>
    <n v="29533"/>
    <n v="-49"/>
    <x v="0"/>
  </r>
  <r>
    <x v="24"/>
    <x v="1"/>
    <n v="513"/>
    <n v="441"/>
    <n v="338847"/>
    <n v="2.68"/>
    <n v="39997"/>
    <n v="72"/>
    <x v="0"/>
  </r>
  <r>
    <x v="24"/>
    <x v="2"/>
    <n v="628"/>
    <n v="183"/>
    <n v="487523"/>
    <n v="7.32"/>
    <n v="5391"/>
    <n v="445"/>
    <x v="0"/>
  </r>
  <r>
    <x v="24"/>
    <x v="3"/>
    <n v="278"/>
    <n v="218"/>
    <n v="301695"/>
    <n v="4.68"/>
    <n v="22373"/>
    <n v="60"/>
    <x v="0"/>
  </r>
  <r>
    <x v="25"/>
    <x v="0"/>
    <n v="1854"/>
    <n v="161"/>
    <n v="282466"/>
    <n v="5.17"/>
    <n v="1810"/>
    <n v="1693"/>
    <x v="0"/>
  </r>
  <r>
    <x v="25"/>
    <x v="1"/>
    <n v="1710"/>
    <n v="378"/>
    <n v="336661"/>
    <n v="6.2"/>
    <n v="28498"/>
    <n v="1332"/>
    <x v="0"/>
  </r>
  <r>
    <x v="25"/>
    <x v="2"/>
    <n v="330"/>
    <n v="232"/>
    <n v="88455"/>
    <n v="2.69"/>
    <n v="39530"/>
    <n v="98"/>
    <x v="0"/>
  </r>
  <r>
    <x v="25"/>
    <x v="3"/>
    <n v="1293"/>
    <n v="408"/>
    <n v="62535"/>
    <n v="8.9"/>
    <n v="37876"/>
    <n v="885"/>
    <x v="0"/>
  </r>
  <r>
    <x v="26"/>
    <x v="0"/>
    <n v="1696"/>
    <n v="71"/>
    <n v="421957"/>
    <n v="3.79"/>
    <n v="36103"/>
    <n v="1625"/>
    <x v="0"/>
  </r>
  <r>
    <x v="26"/>
    <x v="1"/>
    <n v="1902"/>
    <n v="196"/>
    <n v="470269"/>
    <n v="4.79"/>
    <n v="26103"/>
    <n v="1706"/>
    <x v="0"/>
  </r>
  <r>
    <x v="26"/>
    <x v="2"/>
    <n v="1441"/>
    <n v="268"/>
    <n v="309904"/>
    <n v="6.37"/>
    <n v="3455"/>
    <n v="1173"/>
    <x v="0"/>
  </r>
  <r>
    <x v="26"/>
    <x v="3"/>
    <n v="452"/>
    <n v="161"/>
    <n v="221274"/>
    <n v="2.65"/>
    <n v="40888"/>
    <n v="291"/>
    <x v="0"/>
  </r>
  <r>
    <x v="27"/>
    <x v="0"/>
    <n v="1494"/>
    <n v="375"/>
    <n v="220616"/>
    <n v="1.81"/>
    <n v="22724"/>
    <n v="1119"/>
    <x v="0"/>
  </r>
  <r>
    <x v="27"/>
    <x v="1"/>
    <n v="1514"/>
    <n v="141"/>
    <n v="35842"/>
    <n v="7.47"/>
    <n v="18601"/>
    <n v="1373"/>
    <x v="0"/>
  </r>
  <r>
    <x v="27"/>
    <x v="2"/>
    <n v="1937"/>
    <n v="210"/>
    <n v="20607"/>
    <n v="4.2"/>
    <n v="20861"/>
    <n v="1727"/>
    <x v="0"/>
  </r>
  <r>
    <x v="27"/>
    <x v="3"/>
    <n v="736"/>
    <n v="163"/>
    <n v="451894"/>
    <n v="5.43"/>
    <n v="46625"/>
    <n v="573"/>
    <x v="0"/>
  </r>
  <r>
    <x v="28"/>
    <x v="0"/>
    <n v="1502"/>
    <n v="70"/>
    <n v="465553"/>
    <n v="3.32"/>
    <n v="20692"/>
    <n v="1432"/>
    <x v="0"/>
  </r>
  <r>
    <x v="28"/>
    <x v="1"/>
    <n v="1623"/>
    <n v="246"/>
    <n v="415815"/>
    <n v="8.11"/>
    <n v="18656"/>
    <n v="1377"/>
    <x v="0"/>
  </r>
  <r>
    <x v="28"/>
    <x v="2"/>
    <n v="1592"/>
    <n v="233"/>
    <n v="327183"/>
    <n v="6.66"/>
    <n v="13316"/>
    <n v="1359"/>
    <x v="0"/>
  </r>
  <r>
    <x v="28"/>
    <x v="3"/>
    <n v="1004"/>
    <n v="128"/>
    <n v="488901"/>
    <n v="8.09"/>
    <n v="49558"/>
    <n v="876"/>
    <x v="0"/>
  </r>
  <r>
    <x v="29"/>
    <x v="0"/>
    <n v="1092"/>
    <n v="408"/>
    <n v="280795"/>
    <n v="8.44"/>
    <n v="4683"/>
    <n v="684"/>
    <x v="0"/>
  </r>
  <r>
    <x v="29"/>
    <x v="1"/>
    <n v="1155"/>
    <n v="425"/>
    <n v="93347"/>
    <n v="2.02"/>
    <n v="47502"/>
    <n v="730"/>
    <x v="0"/>
  </r>
  <r>
    <x v="29"/>
    <x v="2"/>
    <n v="1137"/>
    <n v="226"/>
    <n v="81119"/>
    <n v="7.74"/>
    <n v="35359"/>
    <n v="911"/>
    <x v="0"/>
  </r>
  <r>
    <x v="29"/>
    <x v="3"/>
    <n v="1900"/>
    <n v="311"/>
    <n v="25177"/>
    <n v="2.89"/>
    <n v="14154"/>
    <n v="1589"/>
    <x v="0"/>
  </r>
  <r>
    <x v="30"/>
    <x v="0"/>
    <n v="1814"/>
    <n v="49"/>
    <n v="140804"/>
    <n v="1.76"/>
    <n v="4313"/>
    <n v="1765"/>
    <x v="3"/>
  </r>
  <r>
    <x v="30"/>
    <x v="1"/>
    <n v="1980"/>
    <n v="204"/>
    <n v="379431"/>
    <n v="3.09"/>
    <n v="25140"/>
    <n v="1776"/>
    <x v="3"/>
  </r>
  <r>
    <x v="30"/>
    <x v="2"/>
    <n v="1786"/>
    <n v="257"/>
    <n v="274831"/>
    <n v="4.68"/>
    <n v="9118"/>
    <n v="1529"/>
    <x v="3"/>
  </r>
  <r>
    <x v="30"/>
    <x v="3"/>
    <n v="1495"/>
    <n v="35"/>
    <n v="136845"/>
    <n v="4.4800000000000004"/>
    <n v="39931"/>
    <n v="1460"/>
    <x v="3"/>
  </r>
  <r>
    <x v="31"/>
    <x v="0"/>
    <n v="1013"/>
    <n v="110"/>
    <n v="466382"/>
    <n v="5.3"/>
    <n v="37132"/>
    <n v="903"/>
    <x v="3"/>
  </r>
  <r>
    <x v="31"/>
    <x v="1"/>
    <n v="816"/>
    <n v="196"/>
    <n v="95728"/>
    <n v="8.1999999999999993"/>
    <n v="17951"/>
    <n v="620"/>
    <x v="3"/>
  </r>
  <r>
    <x v="31"/>
    <x v="2"/>
    <n v="1633"/>
    <n v="445"/>
    <n v="371156"/>
    <n v="2.2200000000000002"/>
    <n v="2798"/>
    <n v="1188"/>
    <x v="3"/>
  </r>
  <r>
    <x v="31"/>
    <x v="3"/>
    <n v="891"/>
    <n v="45"/>
    <n v="95410"/>
    <n v="8.33"/>
    <n v="15045"/>
    <n v="846"/>
    <x v="3"/>
  </r>
  <r>
    <x v="32"/>
    <x v="0"/>
    <n v="1855"/>
    <n v="133"/>
    <n v="349413"/>
    <n v="3.3"/>
    <n v="14548"/>
    <n v="1722"/>
    <x v="0"/>
  </r>
  <r>
    <x v="32"/>
    <x v="1"/>
    <n v="651"/>
    <n v="353"/>
    <n v="224699"/>
    <n v="5.61"/>
    <n v="45708"/>
    <n v="298"/>
    <x v="0"/>
  </r>
  <r>
    <x v="32"/>
    <x v="2"/>
    <n v="118"/>
    <n v="262"/>
    <n v="487896"/>
    <n v="2.56"/>
    <n v="12350"/>
    <n v="-144"/>
    <x v="0"/>
  </r>
  <r>
    <x v="32"/>
    <x v="3"/>
    <n v="1331"/>
    <n v="430"/>
    <n v="14437"/>
    <n v="3.29"/>
    <n v="40868"/>
    <n v="901"/>
    <x v="0"/>
  </r>
  <r>
    <x v="33"/>
    <x v="0"/>
    <n v="1748"/>
    <n v="176"/>
    <n v="383681"/>
    <n v="9.24"/>
    <n v="43122"/>
    <n v="1572"/>
    <x v="0"/>
  </r>
  <r>
    <x v="33"/>
    <x v="1"/>
    <n v="663"/>
    <n v="236"/>
    <n v="479490"/>
    <n v="4.51"/>
    <n v="23853"/>
    <n v="427"/>
    <x v="0"/>
  </r>
  <r>
    <x v="33"/>
    <x v="2"/>
    <n v="1040"/>
    <n v="149"/>
    <n v="124404"/>
    <n v="5.23"/>
    <n v="45380"/>
    <n v="891"/>
    <x v="0"/>
  </r>
  <r>
    <x v="33"/>
    <x v="3"/>
    <n v="1166"/>
    <n v="442"/>
    <n v="336949"/>
    <n v="4.68"/>
    <n v="7705"/>
    <n v="724"/>
    <x v="0"/>
  </r>
  <r>
    <x v="34"/>
    <x v="0"/>
    <n v="115"/>
    <n v="281"/>
    <n v="357265"/>
    <n v="9.23"/>
    <n v="25525"/>
    <n v="-166"/>
    <x v="0"/>
  </r>
  <r>
    <x v="34"/>
    <x v="1"/>
    <n v="1249"/>
    <n v="351"/>
    <n v="321307"/>
    <n v="6.37"/>
    <n v="20560"/>
    <n v="898"/>
    <x v="0"/>
  </r>
  <r>
    <x v="34"/>
    <x v="2"/>
    <n v="1501"/>
    <n v="75"/>
    <n v="262569"/>
    <n v="2.0099999999999998"/>
    <n v="19119"/>
    <n v="1426"/>
    <x v="0"/>
  </r>
  <r>
    <x v="34"/>
    <x v="3"/>
    <n v="1411"/>
    <n v="186"/>
    <n v="461669"/>
    <n v="3.72"/>
    <n v="43999"/>
    <n v="1225"/>
    <x v="0"/>
  </r>
  <r>
    <x v="35"/>
    <x v="0"/>
    <n v="1556"/>
    <n v="476"/>
    <n v="351556"/>
    <n v="3.89"/>
    <n v="10825"/>
    <n v="1080"/>
    <x v="0"/>
  </r>
  <r>
    <x v="35"/>
    <x v="1"/>
    <n v="1159"/>
    <n v="411"/>
    <n v="135987"/>
    <n v="8.6999999999999993"/>
    <n v="40323"/>
    <n v="748"/>
    <x v="0"/>
  </r>
  <r>
    <x v="35"/>
    <x v="2"/>
    <n v="927"/>
    <n v="358"/>
    <n v="177554"/>
    <n v="6.95"/>
    <n v="48270"/>
    <n v="569"/>
    <x v="0"/>
  </r>
  <r>
    <x v="35"/>
    <x v="3"/>
    <n v="152"/>
    <n v="355"/>
    <n v="270766"/>
    <n v="9.48"/>
    <n v="18001"/>
    <n v="-203"/>
    <x v="0"/>
  </r>
  <r>
    <x v="36"/>
    <x v="0"/>
    <n v="1957"/>
    <n v="234"/>
    <n v="222126"/>
    <n v="4.6100000000000003"/>
    <n v="3314"/>
    <n v="1723"/>
    <x v="0"/>
  </r>
  <r>
    <x v="36"/>
    <x v="1"/>
    <n v="1294"/>
    <n v="382"/>
    <n v="309914"/>
    <n v="8.0299999999999994"/>
    <n v="23489"/>
    <n v="912"/>
    <x v="0"/>
  </r>
  <r>
    <x v="36"/>
    <x v="2"/>
    <n v="1587"/>
    <n v="385"/>
    <n v="126582"/>
    <n v="6.99"/>
    <n v="42832"/>
    <n v="1202"/>
    <x v="0"/>
  </r>
  <r>
    <x v="36"/>
    <x v="3"/>
    <n v="1707"/>
    <n v="263"/>
    <n v="485280"/>
    <n v="9.0299999999999994"/>
    <n v="24494"/>
    <n v="1444"/>
    <x v="0"/>
  </r>
  <r>
    <x v="37"/>
    <x v="0"/>
    <n v="1138"/>
    <n v="173"/>
    <n v="453243"/>
    <n v="2.86"/>
    <n v="44097"/>
    <n v="965"/>
    <x v="0"/>
  </r>
  <r>
    <x v="37"/>
    <x v="1"/>
    <n v="1895"/>
    <n v="305"/>
    <n v="104967"/>
    <n v="3.85"/>
    <n v="31853"/>
    <n v="1590"/>
    <x v="0"/>
  </r>
  <r>
    <x v="37"/>
    <x v="2"/>
    <n v="362"/>
    <n v="399"/>
    <n v="145608"/>
    <n v="7.3"/>
    <n v="37636"/>
    <n v="-37"/>
    <x v="0"/>
  </r>
  <r>
    <x v="37"/>
    <x v="3"/>
    <n v="1662"/>
    <n v="487"/>
    <n v="105980"/>
    <n v="9.08"/>
    <n v="22996"/>
    <n v="1175"/>
    <x v="0"/>
  </r>
  <r>
    <x v="38"/>
    <x v="0"/>
    <n v="1440"/>
    <n v="65"/>
    <n v="126524"/>
    <n v="4.34"/>
    <n v="49772"/>
    <n v="1375"/>
    <x v="0"/>
  </r>
  <r>
    <x v="38"/>
    <x v="1"/>
    <n v="1884"/>
    <n v="177"/>
    <n v="230448"/>
    <n v="7.8"/>
    <n v="22713"/>
    <n v="1707"/>
    <x v="0"/>
  </r>
  <r>
    <x v="38"/>
    <x v="2"/>
    <n v="861"/>
    <n v="153"/>
    <n v="317007"/>
    <n v="3.85"/>
    <n v="8718"/>
    <n v="708"/>
    <x v="0"/>
  </r>
  <r>
    <x v="38"/>
    <x v="3"/>
    <n v="1063"/>
    <n v="47"/>
    <n v="464239"/>
    <n v="6.58"/>
    <n v="39031"/>
    <n v="1016"/>
    <x v="0"/>
  </r>
  <r>
    <x v="39"/>
    <x v="0"/>
    <n v="1371"/>
    <n v="56"/>
    <n v="257579"/>
    <n v="8.6199999999999992"/>
    <n v="33799"/>
    <n v="1315"/>
    <x v="4"/>
  </r>
  <r>
    <x v="39"/>
    <x v="1"/>
    <n v="345"/>
    <n v="464"/>
    <n v="366881"/>
    <n v="4.55"/>
    <n v="20553"/>
    <n v="-119"/>
    <x v="4"/>
  </r>
  <r>
    <x v="39"/>
    <x v="2"/>
    <n v="946"/>
    <n v="47"/>
    <n v="466575"/>
    <n v="8.33"/>
    <n v="10002"/>
    <n v="899"/>
    <x v="4"/>
  </r>
  <r>
    <x v="39"/>
    <x v="3"/>
    <n v="510"/>
    <n v="195"/>
    <n v="224534"/>
    <n v="9.4"/>
    <n v="30987"/>
    <n v="315"/>
    <x v="4"/>
  </r>
  <r>
    <x v="40"/>
    <x v="0"/>
    <n v="393"/>
    <n v="181"/>
    <n v="462142"/>
    <n v="7.23"/>
    <n v="6296"/>
    <n v="212"/>
    <x v="4"/>
  </r>
  <r>
    <x v="40"/>
    <x v="1"/>
    <n v="1098"/>
    <n v="190"/>
    <n v="340842"/>
    <n v="9.39"/>
    <n v="21539"/>
    <n v="908"/>
    <x v="4"/>
  </r>
  <r>
    <x v="40"/>
    <x v="2"/>
    <n v="1399"/>
    <n v="49"/>
    <n v="12471"/>
    <n v="5.12"/>
    <n v="14722"/>
    <n v="1350"/>
    <x v="4"/>
  </r>
  <r>
    <x v="40"/>
    <x v="3"/>
    <n v="1658"/>
    <n v="416"/>
    <n v="98397"/>
    <n v="6.11"/>
    <n v="11383"/>
    <n v="1242"/>
    <x v="4"/>
  </r>
  <r>
    <x v="41"/>
    <x v="0"/>
    <n v="1102"/>
    <n v="422"/>
    <n v="410330"/>
    <n v="7.74"/>
    <n v="9480"/>
    <n v="680"/>
    <x v="4"/>
  </r>
  <r>
    <x v="41"/>
    <x v="1"/>
    <n v="1358"/>
    <n v="242"/>
    <n v="342129"/>
    <n v="4.9400000000000004"/>
    <n v="29116"/>
    <n v="1116"/>
    <x v="4"/>
  </r>
  <r>
    <x v="41"/>
    <x v="2"/>
    <n v="1077"/>
    <n v="216"/>
    <n v="12447"/>
    <n v="1.8"/>
    <n v="14068"/>
    <n v="861"/>
    <x v="4"/>
  </r>
  <r>
    <x v="41"/>
    <x v="3"/>
    <n v="1596"/>
    <n v="211"/>
    <n v="17380"/>
    <n v="8.64"/>
    <n v="35801"/>
    <n v="1385"/>
    <x v="4"/>
  </r>
  <r>
    <x v="42"/>
    <x v="0"/>
    <n v="490"/>
    <n v="29"/>
    <n v="364810"/>
    <n v="1.53"/>
    <n v="49077"/>
    <n v="461"/>
    <x v="4"/>
  </r>
  <r>
    <x v="42"/>
    <x v="1"/>
    <n v="609"/>
    <n v="135"/>
    <n v="373606"/>
    <n v="8.52"/>
    <n v="21453"/>
    <n v="474"/>
    <x v="4"/>
  </r>
  <r>
    <x v="42"/>
    <x v="2"/>
    <n v="364"/>
    <n v="72"/>
    <n v="211090"/>
    <n v="5.53"/>
    <n v="21061"/>
    <n v="292"/>
    <x v="4"/>
  </r>
  <r>
    <x v="42"/>
    <x v="3"/>
    <n v="442"/>
    <n v="53"/>
    <n v="441931"/>
    <n v="1.87"/>
    <n v="20059"/>
    <n v="389"/>
    <x v="4"/>
  </r>
  <r>
    <x v="43"/>
    <x v="0"/>
    <n v="1033"/>
    <n v="392"/>
    <n v="282780"/>
    <n v="6.27"/>
    <n v="23140"/>
    <n v="641"/>
    <x v="4"/>
  </r>
  <r>
    <x v="43"/>
    <x v="1"/>
    <n v="988"/>
    <n v="474"/>
    <n v="370070"/>
    <n v="9.4600000000000009"/>
    <n v="23461"/>
    <n v="514"/>
    <x v="4"/>
  </r>
  <r>
    <x v="43"/>
    <x v="2"/>
    <n v="1946"/>
    <n v="270"/>
    <n v="198350"/>
    <n v="7.5"/>
    <n v="11805"/>
    <n v="1676"/>
    <x v="4"/>
  </r>
  <r>
    <x v="43"/>
    <x v="3"/>
    <n v="1957"/>
    <n v="490"/>
    <n v="435726"/>
    <n v="4.7300000000000004"/>
    <n v="15969"/>
    <n v="1467"/>
    <x v="4"/>
  </r>
  <r>
    <x v="44"/>
    <x v="0"/>
    <n v="559"/>
    <n v="392"/>
    <n v="78789"/>
    <n v="3.19"/>
    <n v="2436"/>
    <n v="167"/>
    <x v="0"/>
  </r>
  <r>
    <x v="44"/>
    <x v="1"/>
    <n v="1307"/>
    <n v="278"/>
    <n v="98596"/>
    <n v="2.4900000000000002"/>
    <n v="47603"/>
    <n v="1029"/>
    <x v="0"/>
  </r>
  <r>
    <x v="44"/>
    <x v="2"/>
    <n v="1432"/>
    <n v="425"/>
    <n v="29589"/>
    <n v="4.5"/>
    <n v="42964"/>
    <n v="1007"/>
    <x v="0"/>
  </r>
  <r>
    <x v="44"/>
    <x v="3"/>
    <n v="623"/>
    <n v="414"/>
    <n v="290354"/>
    <n v="6.49"/>
    <n v="39923"/>
    <n v="209"/>
    <x v="0"/>
  </r>
  <r>
    <x v="45"/>
    <x v="0"/>
    <n v="198"/>
    <n v="358"/>
    <n v="66682"/>
    <n v="6.73"/>
    <n v="2293"/>
    <n v="-160"/>
    <x v="0"/>
  </r>
  <r>
    <x v="45"/>
    <x v="1"/>
    <n v="198"/>
    <n v="373"/>
    <n v="70707"/>
    <n v="4.83"/>
    <n v="25920"/>
    <n v="-175"/>
    <x v="0"/>
  </r>
  <r>
    <x v="45"/>
    <x v="2"/>
    <n v="353"/>
    <n v="300"/>
    <n v="142507"/>
    <n v="5.3"/>
    <n v="11035"/>
    <n v="53"/>
    <x v="0"/>
  </r>
  <r>
    <x v="45"/>
    <x v="3"/>
    <n v="520"/>
    <n v="375"/>
    <n v="369525"/>
    <n v="6.54"/>
    <n v="20733"/>
    <n v="145"/>
    <x v="0"/>
  </r>
  <r>
    <x v="46"/>
    <x v="0"/>
    <n v="961"/>
    <n v="358"/>
    <n v="62942"/>
    <n v="6.8"/>
    <n v="18693"/>
    <n v="603"/>
    <x v="0"/>
  </r>
  <r>
    <x v="46"/>
    <x v="1"/>
    <n v="1375"/>
    <n v="330"/>
    <n v="377382"/>
    <n v="2.6"/>
    <n v="7875"/>
    <n v="1045"/>
    <x v="0"/>
  </r>
  <r>
    <x v="46"/>
    <x v="2"/>
    <n v="1147"/>
    <n v="388"/>
    <n v="333851"/>
    <n v="2.44"/>
    <n v="8471"/>
    <n v="759"/>
    <x v="0"/>
  </r>
  <r>
    <x v="46"/>
    <x v="3"/>
    <n v="1707"/>
    <n v="74"/>
    <n v="270958"/>
    <n v="3.09"/>
    <n v="14090"/>
    <n v="1633"/>
    <x v="0"/>
  </r>
  <r>
    <x v="47"/>
    <x v="0"/>
    <n v="1693"/>
    <n v="154"/>
    <n v="445944"/>
    <n v="5.69"/>
    <n v="14216"/>
    <n v="1539"/>
    <x v="0"/>
  </r>
  <r>
    <x v="47"/>
    <x v="1"/>
    <n v="833"/>
    <n v="380"/>
    <n v="224830"/>
    <n v="3.86"/>
    <n v="3582"/>
    <n v="453"/>
    <x v="0"/>
  </r>
  <r>
    <x v="47"/>
    <x v="2"/>
    <n v="1222"/>
    <n v="274"/>
    <n v="487289"/>
    <n v="3.16"/>
    <n v="32500"/>
    <n v="948"/>
    <x v="0"/>
  </r>
  <r>
    <x v="47"/>
    <x v="3"/>
    <n v="777"/>
    <n v="140"/>
    <n v="11435"/>
    <n v="1.6"/>
    <n v="6832"/>
    <n v="637"/>
    <x v="0"/>
  </r>
  <r>
    <x v="48"/>
    <x v="0"/>
    <n v="1957"/>
    <n v="76"/>
    <n v="447902"/>
    <n v="6.09"/>
    <n v="33381"/>
    <n v="1881"/>
    <x v="0"/>
  </r>
  <r>
    <x v="48"/>
    <x v="1"/>
    <n v="405"/>
    <n v="66"/>
    <n v="418696"/>
    <n v="5.59"/>
    <n v="48419"/>
    <n v="339"/>
    <x v="0"/>
  </r>
  <r>
    <x v="48"/>
    <x v="2"/>
    <n v="1581"/>
    <n v="71"/>
    <n v="484364"/>
    <n v="3.55"/>
    <n v="16149"/>
    <n v="1510"/>
    <x v="0"/>
  </r>
  <r>
    <x v="48"/>
    <x v="3"/>
    <n v="1035"/>
    <n v="171"/>
    <n v="148477"/>
    <n v="5.21"/>
    <n v="7541"/>
    <n v="864"/>
    <x v="0"/>
  </r>
  <r>
    <x v="49"/>
    <x v="0"/>
    <n v="1765"/>
    <n v="109"/>
    <n v="468301"/>
    <n v="1.82"/>
    <n v="20042"/>
    <n v="1656"/>
    <x v="0"/>
  </r>
  <r>
    <x v="49"/>
    <x v="1"/>
    <n v="837"/>
    <n v="430"/>
    <n v="364820"/>
    <n v="4"/>
    <n v="49400"/>
    <n v="407"/>
    <x v="0"/>
  </r>
  <r>
    <x v="49"/>
    <x v="2"/>
    <n v="337"/>
    <n v="68"/>
    <n v="456298"/>
    <n v="7.57"/>
    <n v="4007"/>
    <n v="269"/>
    <x v="0"/>
  </r>
  <r>
    <x v="49"/>
    <x v="3"/>
    <n v="119"/>
    <n v="456"/>
    <n v="82558"/>
    <n v="6.81"/>
    <n v="12174"/>
    <n v="-337"/>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s v="2024-06-02"/>
    <x v="0"/>
    <s v="Check out our latest story on instagram!"/>
    <n v="84"/>
    <n v="897"/>
    <n v="85"/>
    <n v="588"/>
    <n v="8"/>
    <n v="12"/>
    <s v="#EVRevolution"/>
    <m/>
    <m/>
    <m/>
    <n v="1.8129251700680271"/>
    <s v="#TeslaCoInnovation"/>
  </r>
  <r>
    <s v="P058"/>
    <x v="0"/>
    <s v="2025-04-15"/>
    <x v="1"/>
    <s v="Check out our latest reel on instagram!"/>
    <n v="103"/>
    <n v="770"/>
    <n v="19"/>
    <n v="1030"/>
    <n v="410"/>
    <n v="262"/>
    <s v="#TeslaCoInnovation"/>
    <m/>
    <m/>
    <s v="SustainabilityDrive"/>
    <n v="0.86601941747572819"/>
    <s v="#EVRevolution"/>
  </r>
  <r>
    <s v="P232"/>
    <x v="1"/>
    <s v="2025-04-29"/>
    <x v="0"/>
    <s v="Check out our latest story on twitter!"/>
    <n v="249"/>
    <n v="592"/>
    <n v="230"/>
    <n v="1494"/>
    <n v="1044"/>
    <n v="201"/>
    <s v="#EVRevolution"/>
    <m/>
    <m/>
    <s v="SustainabilityDrive"/>
    <n v="0.7168674698795181"/>
    <s v="#FutureOfDriving"/>
  </r>
  <r>
    <s v="P178"/>
    <x v="0"/>
    <s v="2024-11-07"/>
    <x v="2"/>
    <s v="Check out our latest video on instagram!"/>
    <n v="129"/>
    <n v="643"/>
    <n v="136"/>
    <n v="1290"/>
    <n v="839"/>
    <n v="238"/>
    <s v="#TeslaCoInnovation"/>
    <m/>
    <m/>
    <s v="SustainabilityDrive"/>
    <n v="0.70387596899224802"/>
    <s v="#BetterWithTesla"/>
  </r>
  <r>
    <s v="P175"/>
    <x v="0"/>
    <s v="2025-01-17"/>
    <x v="1"/>
    <s v="Check out our latest reel on instagram!"/>
    <n v="142"/>
    <n v="784"/>
    <n v="183"/>
    <n v="1704"/>
    <n v="995"/>
    <n v="154"/>
    <s v="#FutureOfDriving"/>
    <m/>
    <m/>
    <s v="SustainabilityDrive"/>
    <n v="0.6508215962441315"/>
    <s v="#AnytimeIsTeslaTime"/>
  </r>
  <r>
    <s v="P062"/>
    <x v="1"/>
    <s v="2024-11-22"/>
    <x v="3"/>
    <s v="Check out our latest carousel on twitter!"/>
    <n v="53"/>
    <n v="81"/>
    <n v="379"/>
    <n v="954"/>
    <n v="7"/>
    <n v="148"/>
    <s v="#TeslaCoInnovation"/>
    <m/>
    <m/>
    <s v="FSDUpdate"/>
    <n v="0.53773584905660377"/>
    <s v="#SmoothLikeNitroTesla"/>
  </r>
  <r>
    <s v="P264"/>
    <x v="1"/>
    <s v="2025-01-30"/>
    <x v="4"/>
    <s v="Check out our latest image on twitter!"/>
    <n v="59"/>
    <n v="163"/>
    <n v="93"/>
    <n v="590"/>
    <n v="475"/>
    <n v="293"/>
    <s v="#TeslaCoInnovation"/>
    <m/>
    <m/>
    <s v="ModelYCampaign"/>
    <n v="0.53389830508474578"/>
    <m/>
  </r>
  <r>
    <s v="P143"/>
    <x v="2"/>
    <s v="2024-10-02"/>
    <x v="3"/>
    <s v="Check out our latest carousel on youtube!"/>
    <n v="80"/>
    <n v="362"/>
    <n v="80"/>
    <n v="1040"/>
    <n v="349"/>
    <n v="117"/>
    <s v="#TeslaCoInnovation"/>
    <m/>
    <m/>
    <s v="FSDUpdate"/>
    <n v="0.50192307692307692"/>
    <m/>
  </r>
  <r>
    <s v="P210"/>
    <x v="2"/>
    <s v="2025-02-19"/>
    <x v="4"/>
    <s v="Check out our latest image on youtube!"/>
    <n v="257"/>
    <n v="966"/>
    <n v="398"/>
    <n v="3341"/>
    <n v="2753"/>
    <n v="287"/>
    <s v="#FutureOfDriving"/>
    <m/>
    <m/>
    <s v="CybertruckLaunch"/>
    <n v="0.48518407662376534"/>
    <m/>
  </r>
  <r>
    <s v="P070"/>
    <x v="3"/>
    <s v="2025-04-02"/>
    <x v="2"/>
    <s v="Check out our latest video on facebook!"/>
    <n v="199"/>
    <n v="772"/>
    <n v="400"/>
    <n v="3582"/>
    <n v="2988"/>
    <n v="43"/>
    <s v="#TeslaCoInnovation"/>
    <m/>
    <m/>
    <m/>
    <n v="0.38274706867671693"/>
    <m/>
  </r>
  <r>
    <s v="P214"/>
    <x v="0"/>
    <s v="2024-12-23"/>
    <x v="4"/>
    <s v="Check out our latest image on instagram!"/>
    <n v="521"/>
    <n v="746"/>
    <n v="315"/>
    <n v="4168"/>
    <n v="3399"/>
    <n v="282"/>
    <s v="#FutureOfDriving"/>
    <m/>
    <m/>
    <s v="ModelYCampaign"/>
    <n v="0.37955854126679461"/>
    <m/>
  </r>
  <r>
    <s v="P053"/>
    <x v="2"/>
    <s v="2025-02-24"/>
    <x v="3"/>
    <s v="Check out our latest carousel on youtube!"/>
    <n v="804"/>
    <n v="639"/>
    <n v="43"/>
    <n v="4020"/>
    <n v="3144"/>
    <n v="11"/>
    <s v="#EVRevolution"/>
    <s v="#BetterWithTesla"/>
    <m/>
    <m/>
    <n v="0.36965174129353234"/>
    <m/>
  </r>
  <r>
    <s v="P102"/>
    <x v="1"/>
    <s v="2024-09-18"/>
    <x v="1"/>
    <s v="Check out our latest reel on twitter!"/>
    <n v="1000"/>
    <n v="978"/>
    <n v="162"/>
    <n v="6000"/>
    <n v="5221"/>
    <n v="223"/>
    <s v="#EVRevolution"/>
    <m/>
    <m/>
    <s v="ModelYCampaign"/>
    <n v="0.35666666666666669"/>
    <m/>
  </r>
  <r>
    <s v="P124"/>
    <x v="2"/>
    <s v="2025-04-06"/>
    <x v="3"/>
    <s v="Check out our latest carousel on youtube!"/>
    <n v="736"/>
    <n v="771"/>
    <n v="225"/>
    <n v="5152"/>
    <n v="4706"/>
    <n v="19"/>
    <s v="#EVRevolution"/>
    <m/>
    <m/>
    <s v="CybertruckLaunch"/>
    <n v="0.33618012422360249"/>
    <m/>
  </r>
  <r>
    <s v="P121"/>
    <x v="0"/>
    <s v="2024-07-29"/>
    <x v="0"/>
    <s v="Check out our latest story on instagram!"/>
    <n v="498"/>
    <n v="701"/>
    <n v="412"/>
    <n v="4980"/>
    <n v="4185"/>
    <n v="185"/>
    <s v="#FutureOfDriving"/>
    <m/>
    <m/>
    <m/>
    <n v="0.32349397590361445"/>
    <m/>
  </r>
  <r>
    <s v="P224"/>
    <x v="3"/>
    <s v="2025-05-13"/>
    <x v="4"/>
    <s v="Check out our latest image on facebook!"/>
    <n v="602"/>
    <n v="594"/>
    <n v="156"/>
    <n v="4214"/>
    <n v="3363"/>
    <n v="164"/>
    <s v="#TeslaCoInnovation"/>
    <m/>
    <m/>
    <s v="FSDUpdate"/>
    <n v="0.32083531086853345"/>
    <m/>
  </r>
  <r>
    <s v="P154"/>
    <x v="0"/>
    <s v="2024-10-09"/>
    <x v="3"/>
    <s v="Check out our latest carousel on instagram!"/>
    <n v="985"/>
    <n v="932"/>
    <n v="287"/>
    <n v="6895"/>
    <n v="6757"/>
    <n v="64"/>
    <s v="#FutureOfDriving"/>
    <m/>
    <m/>
    <s v="SustainabilityDrive"/>
    <n v="0.31965192168237855"/>
    <m/>
  </r>
  <r>
    <s v="P119"/>
    <x v="0"/>
    <s v="2025-02-07"/>
    <x v="1"/>
    <s v="Check out our latest reel on instagram!"/>
    <n v="1970"/>
    <n v="675"/>
    <n v="478"/>
    <n v="9850"/>
    <n v="8924"/>
    <n v="117"/>
    <s v="#FutureOfDriving"/>
    <m/>
    <m/>
    <m/>
    <n v="0.31705583756345179"/>
    <m/>
  </r>
  <r>
    <s v="P287"/>
    <x v="0"/>
    <s v="2024-08-15"/>
    <x v="1"/>
    <s v="Check out our latest reel on instagram!"/>
    <n v="1164"/>
    <n v="616"/>
    <n v="324"/>
    <n v="6984"/>
    <n v="6636"/>
    <n v="82"/>
    <s v="#EVRevolution"/>
    <m/>
    <m/>
    <s v="CybertruckLaunch"/>
    <n v="0.30126002290950743"/>
    <m/>
  </r>
  <r>
    <s v="P204"/>
    <x v="0"/>
    <s v="2025-01-01"/>
    <x v="3"/>
    <s v="Check out our latest carousel on instagram!"/>
    <n v="2234"/>
    <n v="653"/>
    <n v="432"/>
    <n v="11170"/>
    <n v="10569"/>
    <n v="198"/>
    <s v="#FutureOfDriving"/>
    <m/>
    <m/>
    <s v="FSDUpdate"/>
    <n v="0.29713518352730528"/>
    <m/>
  </r>
  <r>
    <s v="P066"/>
    <x v="1"/>
    <s v="2024-07-26"/>
    <x v="3"/>
    <s v="Check out our latest carousel on twitter!"/>
    <n v="432"/>
    <n v="171"/>
    <n v="280"/>
    <n v="3024"/>
    <n v="2285"/>
    <n v="184"/>
    <s v="#EVRevolution"/>
    <m/>
    <m/>
    <s v="CybertruckLaunch"/>
    <n v="0.29199735449735448"/>
    <m/>
  </r>
  <r>
    <s v="P183"/>
    <x v="0"/>
    <s v="2024-12-17"/>
    <x v="0"/>
    <s v="Check out our latest story on instagram!"/>
    <n v="360"/>
    <n v="590"/>
    <n v="393"/>
    <n v="4680"/>
    <n v="4322"/>
    <n v="208"/>
    <s v="#FutureOfDriving"/>
    <m/>
    <m/>
    <s v="ModelYCampaign"/>
    <n v="0.28696581196581195"/>
    <m/>
  </r>
  <r>
    <m/>
    <x v="0"/>
    <s v="2024-12-16"/>
    <x v="5"/>
    <s v="Check out our latest text on instagram!"/>
    <n v="438"/>
    <n v="153"/>
    <n v="275"/>
    <n v="3066"/>
    <n v="2701"/>
    <n v="282"/>
    <s v="#TeslaCoInnovation"/>
    <m/>
    <m/>
    <s v="ModelYCampaign"/>
    <n v="0.28245270711024134"/>
    <m/>
  </r>
  <r>
    <s v="P093"/>
    <x v="0"/>
    <s v="2024-12-11"/>
    <x v="2"/>
    <s v="Check out our latest video on instagram!"/>
    <n v="1431"/>
    <n v="951"/>
    <n v="26"/>
    <n v="8586"/>
    <n v="8396"/>
    <n v="150"/>
    <s v="#EVRevolution"/>
    <m/>
    <m/>
    <s v="FSDUpdate"/>
    <n v="0.28045655718611695"/>
    <m/>
  </r>
  <r>
    <s v="P263"/>
    <x v="0"/>
    <s v="2024-08-20"/>
    <x v="1"/>
    <s v="Check out our latest reel on instagram!"/>
    <n v="2603"/>
    <n v="690"/>
    <n v="205"/>
    <n v="13015"/>
    <n v="12130"/>
    <n v="20"/>
    <s v="#FutureOfDriving"/>
    <m/>
    <m/>
    <s v="ModelYCampaign"/>
    <n v="0.26876680752977333"/>
    <m/>
  </r>
  <r>
    <s v="P248"/>
    <x v="3"/>
    <s v="2025-02-02"/>
    <x v="0"/>
    <s v="Check out our latest story on facebook!"/>
    <n v="886"/>
    <n v="126"/>
    <n v="153"/>
    <n v="4430"/>
    <n v="4037"/>
    <n v="212"/>
    <s v="#EVRevolution"/>
    <m/>
    <m/>
    <m/>
    <n v="0.26297968397291194"/>
    <m/>
  </r>
  <r>
    <s v="P244"/>
    <x v="2"/>
    <s v="2024-10-25"/>
    <x v="2"/>
    <s v="Check out our latest video on youtube!"/>
    <n v="4661"/>
    <n v="935"/>
    <n v="433"/>
    <n v="23305"/>
    <n v="22583"/>
    <n v="63"/>
    <s v="#FutureOfDriving"/>
    <m/>
    <m/>
    <s v="FSDUpdate"/>
    <n v="0.25869984981763572"/>
    <m/>
  </r>
  <r>
    <s v="P259"/>
    <x v="3"/>
    <s v="2025-02-10"/>
    <x v="5"/>
    <s v="Check out our latest text on facebook!"/>
    <n v="562"/>
    <n v="158"/>
    <n v="149"/>
    <n v="3372"/>
    <n v="2940"/>
    <n v="93"/>
    <s v="#TeslaCoInnovation"/>
    <m/>
    <m/>
    <s v="CybertruckLaunch"/>
    <n v="0.25771055753262156"/>
    <m/>
  </r>
  <r>
    <s v="P219"/>
    <x v="1"/>
    <s v="2025-01-28"/>
    <x v="1"/>
    <s v="Check out our latest reel on twitter!"/>
    <n v="1188"/>
    <n v="470"/>
    <n v="174"/>
    <n v="7128"/>
    <n v="6145"/>
    <n v="270"/>
    <s v="#TeslaCoInnovation"/>
    <m/>
    <m/>
    <s v="SustainabilityDrive"/>
    <n v="0.25701459034792368"/>
    <m/>
  </r>
  <r>
    <s v="P226"/>
    <x v="0"/>
    <s v="2024-08-07"/>
    <x v="3"/>
    <s v="Check out our latest carousel on instagram!"/>
    <n v="1741"/>
    <n v="164"/>
    <n v="318"/>
    <n v="8705"/>
    <n v="8272"/>
    <n v="121"/>
    <s v="#TeslaCoInnovation"/>
    <m/>
    <m/>
    <m/>
    <n v="0.25537047673750718"/>
    <m/>
  </r>
  <r>
    <s v="P265"/>
    <x v="1"/>
    <s v="2025-02-20"/>
    <x v="3"/>
    <s v="Check out our latest carousel on twitter!"/>
    <n v="1877"/>
    <n v="745"/>
    <n v="225"/>
    <n v="11262"/>
    <n v="10967"/>
    <n v="41"/>
    <s v="#EVRevolution"/>
    <m/>
    <m/>
    <s v="SustainabilityDrive"/>
    <n v="0.25279701651571657"/>
    <m/>
  </r>
  <r>
    <s v="P239"/>
    <x v="2"/>
    <s v="2025-02-24"/>
    <x v="5"/>
    <s v="Check out our latest text on youtube!"/>
    <n v="4188"/>
    <n v="942"/>
    <n v="118"/>
    <n v="20940"/>
    <n v="20471"/>
    <n v="102"/>
    <s v="#FutureOfDriving"/>
    <m/>
    <m/>
    <m/>
    <n v="0.25062082139446035"/>
    <m/>
  </r>
  <r>
    <s v="P277"/>
    <x v="3"/>
    <s v="2025-04-06"/>
    <x v="4"/>
    <s v="Check out our latest image on facebook!"/>
    <n v="4236"/>
    <n v="711"/>
    <n v="298"/>
    <n v="21180"/>
    <n v="20516"/>
    <n v="238"/>
    <s v="#FutureOfDriving"/>
    <m/>
    <m/>
    <s v="CybertruckLaunch"/>
    <n v="0.24763928234183191"/>
    <m/>
  </r>
  <r>
    <s v="P297"/>
    <x v="1"/>
    <s v="2024-12-24"/>
    <x v="5"/>
    <s v="Check out our latest text on twitter!"/>
    <n v="2166"/>
    <n v="354"/>
    <n v="117"/>
    <n v="10830"/>
    <n v="10245"/>
    <n v="24"/>
    <s v="#EVRevolution"/>
    <m/>
    <m/>
    <s v="SustainabilityDrive"/>
    <n v="0.24349030470914126"/>
    <m/>
  </r>
  <r>
    <s v="P181"/>
    <x v="2"/>
    <s v="2025-03-21"/>
    <x v="4"/>
    <s v="Check out our latest image on youtube!"/>
    <n v="606"/>
    <n v="789"/>
    <n v="470"/>
    <n v="7878"/>
    <n v="7389"/>
    <n v="239"/>
    <s v="#EVRevolution"/>
    <m/>
    <m/>
    <s v="FSDUpdate"/>
    <n v="0.23673521198273673"/>
    <m/>
  </r>
  <r>
    <s v="P246"/>
    <x v="3"/>
    <s v="2024-10-11"/>
    <x v="4"/>
    <s v="Check out our latest image on facebook!"/>
    <n v="400"/>
    <n v="680"/>
    <n v="434"/>
    <n v="6400"/>
    <n v="5472"/>
    <n v="160"/>
    <s v="#FutureOfDriving"/>
    <m/>
    <m/>
    <s v="ModelYCampaign"/>
    <n v="0.23656250000000001"/>
    <m/>
  </r>
  <r>
    <s v="P123"/>
    <x v="0"/>
    <s v="2024-06-14"/>
    <x v="0"/>
    <s v="Check out our latest story on instagram!"/>
    <n v="4363"/>
    <n v="649"/>
    <n v="140"/>
    <n v="21815"/>
    <n v="21481"/>
    <n v="157"/>
    <s v="#EVRevolution"/>
    <m/>
    <m/>
    <s v="CybertruckLaunch"/>
    <n v="0.23616777446710979"/>
    <m/>
  </r>
  <r>
    <s v="P120"/>
    <x v="3"/>
    <s v="2024-10-21"/>
    <x v="0"/>
    <s v="Check out our latest story on facebook!"/>
    <n v="780"/>
    <n v="928"/>
    <n v="301"/>
    <n v="8580"/>
    <n v="8081"/>
    <n v="91"/>
    <s v="#EVRevolution"/>
    <m/>
    <m/>
    <s v="FSDUpdate"/>
    <n v="0.23414918414918415"/>
    <m/>
  </r>
  <r>
    <s v="P141"/>
    <x v="1"/>
    <s v="2024-08-31"/>
    <x v="4"/>
    <s v="Check out our latest image on twitter!"/>
    <n v="3170"/>
    <n v="857"/>
    <n v="379"/>
    <n v="19020"/>
    <n v="18559"/>
    <n v="240"/>
    <s v="#FutureOfDriving"/>
    <m/>
    <m/>
    <m/>
    <n v="0.2316508937960042"/>
    <m/>
  </r>
  <r>
    <s v="P163"/>
    <x v="0"/>
    <s v="2025-04-08"/>
    <x v="4"/>
    <s v="Check out our latest image on instagram!"/>
    <n v="4501"/>
    <n v="375"/>
    <n v="323"/>
    <n v="22505"/>
    <n v="21836"/>
    <n v="132"/>
    <s v="#TeslaCoInnovation"/>
    <m/>
    <m/>
    <s v="ModelYCampaign"/>
    <n v="0.23101532992668297"/>
    <m/>
  </r>
  <r>
    <s v="P269"/>
    <x v="0"/>
    <s v="2024-11-05"/>
    <x v="2"/>
    <s v="Check out our latest video on instagram!"/>
    <n v="4561"/>
    <n v="51"/>
    <n v="441"/>
    <n v="22805"/>
    <n v="21890"/>
    <n v="45"/>
    <s v="#TeslaCoInnovation"/>
    <m/>
    <m/>
    <s v="ModelYCampaign"/>
    <n v="0.22157421618066214"/>
    <m/>
  </r>
  <r>
    <s v="P042"/>
    <x v="2"/>
    <s v="2025-03-05"/>
    <x v="1"/>
    <s v="Check out our latest reel on youtube!"/>
    <n v="1543"/>
    <n v="820"/>
    <n v="333"/>
    <n v="12344"/>
    <n v="11496"/>
    <n v="241"/>
    <s v="#EVRevolution"/>
    <m/>
    <m/>
    <m/>
    <n v="0.21840570317563188"/>
    <m/>
  </r>
  <r>
    <s v="P043"/>
    <x v="0"/>
    <s v="2024-12-14"/>
    <x v="3"/>
    <s v="Check out our latest carousel on instagram!"/>
    <n v="2174"/>
    <n v="658"/>
    <n v="15"/>
    <n v="13044"/>
    <n v="12206"/>
    <n v="137"/>
    <s v="#TeslaCoInnovation"/>
    <m/>
    <m/>
    <s v="FSDUpdate"/>
    <n v="0.21826126954921804"/>
    <m/>
  </r>
  <r>
    <s v="P159"/>
    <x v="3"/>
    <s v="2024-11-25"/>
    <x v="0"/>
    <s v="Check out our latest story on facebook!"/>
    <n v="2120"/>
    <n v="158"/>
    <n v="488"/>
    <n v="12720"/>
    <n v="12085"/>
    <n v="17"/>
    <s v="#FutureOfDriving"/>
    <m/>
    <m/>
    <s v="ModelYCampaign"/>
    <n v="0.21745283018867925"/>
    <m/>
  </r>
  <r>
    <s v="P146"/>
    <x v="2"/>
    <s v="2024-06-05"/>
    <x v="1"/>
    <s v="Check out our latest reel on youtube!"/>
    <n v="3065"/>
    <n v="772"/>
    <n v="142"/>
    <n v="18390"/>
    <n v="17875"/>
    <n v="200"/>
    <s v="#EVRevolution"/>
    <s v="#AnytimeIsTeslaTime"/>
    <m/>
    <m/>
    <n v="0.21636759108210984"/>
    <m/>
  </r>
  <r>
    <s v="P029"/>
    <x v="0"/>
    <s v="2025-01-31"/>
    <x v="3"/>
    <s v="Check out our latest carousel on instagram!"/>
    <n v="2566"/>
    <n v="118"/>
    <n v="37"/>
    <n v="12830"/>
    <n v="12264"/>
    <n v="221"/>
    <s v="#FutureOfDriving"/>
    <m/>
    <m/>
    <s v="FSDUpdate"/>
    <n v="0.21208106001558846"/>
    <m/>
  </r>
  <r>
    <s v="P137"/>
    <x v="3"/>
    <s v="2024-07-31"/>
    <x v="2"/>
    <s v="Check out our latest video on facebook!"/>
    <n v="3008"/>
    <n v="94"/>
    <n v="37"/>
    <n v="15040"/>
    <n v="14639"/>
    <n v="277"/>
    <s v="#FutureOfDriving"/>
    <m/>
    <m/>
    <m/>
    <n v="0.20871010638297871"/>
    <m/>
  </r>
  <r>
    <s v="P087"/>
    <x v="1"/>
    <s v="2024-06-06"/>
    <x v="2"/>
    <s v="Check out our latest video on twitter!"/>
    <n v="1436"/>
    <n v="765"/>
    <n v="496"/>
    <n v="12924"/>
    <n v="12701"/>
    <n v="197"/>
    <s v="#FutureOfDriving"/>
    <m/>
    <m/>
    <s v="FSDUpdate"/>
    <n v="0.20868152274837512"/>
    <m/>
  </r>
  <r>
    <s v="P271"/>
    <x v="0"/>
    <s v="2024-10-17"/>
    <x v="2"/>
    <s v="Check out our latest video on instagram!"/>
    <n v="3575"/>
    <n v="749"/>
    <n v="111"/>
    <n v="21450"/>
    <n v="20785"/>
    <n v="195"/>
    <s v="#EVRevolution"/>
    <m/>
    <m/>
    <s v="ModelYCampaign"/>
    <n v="0.20675990675990677"/>
    <m/>
  </r>
  <r>
    <s v="P077"/>
    <x v="3"/>
    <s v="2025-03-04"/>
    <x v="0"/>
    <s v="Check out our latest story on facebook!"/>
    <n v="1249"/>
    <n v="116"/>
    <n v="420"/>
    <n v="8743"/>
    <n v="8538"/>
    <n v="63"/>
    <s v="#TeslaCoInnovation"/>
    <m/>
    <m/>
    <m/>
    <n v="0.20416333066453163"/>
    <m/>
  </r>
  <r>
    <s v="P136"/>
    <x v="0"/>
    <s v="2024-07-11"/>
    <x v="5"/>
    <s v="Check out our latest text on instagram!"/>
    <n v="3134"/>
    <n v="888"/>
    <n v="444"/>
    <n v="21938"/>
    <n v="21337"/>
    <n v="130"/>
    <s v="#EVRevolution"/>
    <m/>
    <m/>
    <s v="SustainabilityDrive"/>
    <n v="0.20357370772176134"/>
    <m/>
  </r>
  <r>
    <s v="P258"/>
    <x v="0"/>
    <s v="2024-08-05"/>
    <x v="0"/>
    <s v="Check out our latest story on instagram!"/>
    <n v="3601"/>
    <n v="695"/>
    <n v="75"/>
    <n v="21606"/>
    <n v="21454"/>
    <n v="172"/>
    <s v="#EVRevolution"/>
    <m/>
    <m/>
    <s v="ModelYCampaign"/>
    <n v="0.2023049153013052"/>
    <m/>
  </r>
  <r>
    <s v="P276"/>
    <x v="1"/>
    <s v="2024-06-07"/>
    <x v="3"/>
    <s v="Check out our latest carousel on twitter!"/>
    <n v="1556"/>
    <n v="195"/>
    <n v="131"/>
    <n v="9336"/>
    <n v="8875"/>
    <n v="137"/>
    <s v="#TeslaCoInnovation"/>
    <m/>
    <m/>
    <s v="ModelYCampaign"/>
    <n v="0.2015852613538989"/>
    <m/>
  </r>
  <r>
    <s v="P148"/>
    <x v="0"/>
    <s v="2025-04-15"/>
    <x v="2"/>
    <s v="Check out our latest video on instagram!"/>
    <n v="4133"/>
    <n v="466"/>
    <n v="327"/>
    <n v="24798"/>
    <n v="24620"/>
    <n v="176"/>
    <s v="#EVRevolution"/>
    <m/>
    <m/>
    <s v="SustainabilityDrive"/>
    <n v="0.19864505202032423"/>
    <m/>
  </r>
  <r>
    <s v="P198"/>
    <x v="1"/>
    <s v="2024-09-14"/>
    <x v="4"/>
    <s v="Check out our latest image on twitter!"/>
    <n v="1048"/>
    <n v="374"/>
    <n v="450"/>
    <n v="9432"/>
    <n v="8882"/>
    <n v="158"/>
    <s v="#TeslaCoInnovation"/>
    <m/>
    <m/>
    <s v="FSDUpdate"/>
    <n v="0.19847328244274809"/>
    <m/>
  </r>
  <r>
    <s v="P152"/>
    <x v="3"/>
    <s v="2025-04-22"/>
    <x v="4"/>
    <s v="Check out our latest image on facebook!"/>
    <n v="4804"/>
    <n v="550"/>
    <n v="270"/>
    <n v="28824"/>
    <n v="28370"/>
    <n v="47"/>
    <s v="#EVRevolution"/>
    <m/>
    <m/>
    <s v="SustainabilityDrive"/>
    <n v="0.19511518179295032"/>
    <m/>
  </r>
  <r>
    <s v="P286"/>
    <x v="2"/>
    <s v="2024-09-25"/>
    <x v="2"/>
    <s v="Check out our latest video on youtube!"/>
    <n v="3389"/>
    <n v="344"/>
    <n v="229"/>
    <n v="20334"/>
    <n v="19443"/>
    <n v="228"/>
    <s v="#FutureOfDriving"/>
    <m/>
    <m/>
    <s v="FSDUpdate"/>
    <n v="0.19484607062063539"/>
    <m/>
  </r>
  <r>
    <s v="P068"/>
    <x v="0"/>
    <s v="2024-12-08"/>
    <x v="0"/>
    <s v="Check out our latest story on instagram!"/>
    <n v="2610"/>
    <n v="126"/>
    <n v="288"/>
    <n v="15660"/>
    <n v="15145"/>
    <n v="73"/>
    <s v="#EVRevolution"/>
    <m/>
    <m/>
    <m/>
    <n v="0.19310344827586207"/>
    <m/>
  </r>
  <r>
    <s v="P085"/>
    <x v="0"/>
    <s v="2025-04-19"/>
    <x v="4"/>
    <s v="Check out our latest image on instagram!"/>
    <n v="4177"/>
    <n v="569"/>
    <n v="55"/>
    <n v="25062"/>
    <n v="24847"/>
    <n v="230"/>
    <s v="#FutureOfDriving"/>
    <m/>
    <m/>
    <s v="CybertruckLaunch"/>
    <n v="0.19156491900087783"/>
    <m/>
  </r>
  <r>
    <s v="P032"/>
    <x v="1"/>
    <s v="2024-07-31"/>
    <x v="3"/>
    <s v="Check out our latest carousel on twitter!"/>
    <n v="2278"/>
    <n v="10"/>
    <n v="321"/>
    <n v="13668"/>
    <n v="12676"/>
    <n v="275"/>
    <s v="#EVRevolution"/>
    <m/>
    <m/>
    <s v="CybertruckLaunch"/>
    <n v="0.19088381621305239"/>
    <m/>
  </r>
  <r>
    <s v="P218"/>
    <x v="3"/>
    <s v="2024-06-11"/>
    <x v="3"/>
    <s v="Check out our latest carousel on facebook!"/>
    <n v="1869"/>
    <n v="453"/>
    <n v="490"/>
    <n v="14952"/>
    <n v="14309"/>
    <n v="275"/>
    <s v="#TeslaCoInnovation"/>
    <m/>
    <m/>
    <s v="SustainabilityDrive"/>
    <n v="0.18806848582129482"/>
    <m/>
  </r>
  <r>
    <s v="P211"/>
    <x v="1"/>
    <s v="2024-07-18"/>
    <x v="3"/>
    <s v="Check out our latest carousel on twitter!"/>
    <n v="2120"/>
    <n v="38"/>
    <n v="212"/>
    <n v="12720"/>
    <n v="12564"/>
    <n v="21"/>
    <s v="#FutureOfDriving"/>
    <m/>
    <m/>
    <s v="SustainabilityDrive"/>
    <n v="0.18632075471698112"/>
    <m/>
  </r>
  <r>
    <s v="P242"/>
    <x v="3"/>
    <s v="2024-07-07"/>
    <x v="1"/>
    <s v="Check out our latest reel on facebook!"/>
    <n v="4767"/>
    <n v="190"/>
    <n v="340"/>
    <n v="28602"/>
    <n v="28044"/>
    <n v="210"/>
    <s v="#EVRevolution"/>
    <m/>
    <m/>
    <s v="FSDUpdate"/>
    <n v="0.18519683938186141"/>
    <m/>
  </r>
  <r>
    <s v="P041"/>
    <x v="0"/>
    <s v="2025-03-08"/>
    <x v="1"/>
    <s v="Check out our latest reel on instagram!"/>
    <n v="456"/>
    <n v="629"/>
    <n v="428"/>
    <n v="8208"/>
    <n v="7377"/>
    <n v="205"/>
    <s v="#FutureOfDriving"/>
    <m/>
    <m/>
    <s v="SustainabilityDrive"/>
    <n v="0.18433235867446393"/>
    <m/>
  </r>
  <r>
    <s v="P294"/>
    <x v="3"/>
    <s v="2024-06-19"/>
    <x v="3"/>
    <s v="Check out our latest carousel on facebook!"/>
    <n v="4731"/>
    <n v="173"/>
    <n v="276"/>
    <n v="28386"/>
    <n v="28185"/>
    <n v="89"/>
    <s v="#EVRevolution"/>
    <m/>
    <m/>
    <s v="FSDUpdate"/>
    <n v="0.18248432325794406"/>
    <m/>
  </r>
  <r>
    <s v="P006"/>
    <x v="3"/>
    <s v="2024-10-31"/>
    <x v="3"/>
    <s v="Check out our latest carousel on facebook!"/>
    <n v="2945"/>
    <n v="930"/>
    <n v="355"/>
    <n v="23560"/>
    <n v="23275"/>
    <n v="256"/>
    <s v="#TeslaCoInnovation"/>
    <m/>
    <m/>
    <s v="ModelYCampaign"/>
    <n v="0.17954159592529711"/>
    <m/>
  </r>
  <r>
    <s v="P153"/>
    <x v="1"/>
    <s v="2025-01-01"/>
    <x v="2"/>
    <s v="Check out our latest video on twitter!"/>
    <n v="754"/>
    <n v="197"/>
    <n v="257"/>
    <n v="6786"/>
    <n v="6221"/>
    <n v="212"/>
    <s v="#TeslaCoInnovation"/>
    <m/>
    <m/>
    <s v="FSDUpdate"/>
    <n v="0.17801355732390214"/>
    <m/>
  </r>
  <r>
    <s v="P037"/>
    <x v="3"/>
    <s v="2025-01-06"/>
    <x v="3"/>
    <s v="Check out our latest carousel on facebook!"/>
    <n v="3024"/>
    <n v="925"/>
    <n v="350"/>
    <n v="24192"/>
    <n v="23518"/>
    <n v="36"/>
    <s v="#EVRevolution"/>
    <m/>
    <m/>
    <s v="ModelYCampaign"/>
    <n v="0.17770337301587302"/>
    <m/>
  </r>
  <r>
    <s v="P241"/>
    <x v="3"/>
    <s v="2025-01-18"/>
    <x v="0"/>
    <s v="Check out our latest story on facebook!"/>
    <n v="4321"/>
    <n v="874"/>
    <n v="172"/>
    <n v="30247"/>
    <n v="29254"/>
    <n v="122"/>
    <s v="#TeslaCoInnovation"/>
    <m/>
    <m/>
    <s v="SustainabilityDrive"/>
    <n v="0.17743908486792079"/>
    <m/>
  </r>
  <r>
    <s v="P112"/>
    <x v="1"/>
    <s v="2024-10-05"/>
    <x v="0"/>
    <s v="Check out our latest story on twitter!"/>
    <n v="1957"/>
    <n v="877"/>
    <n v="238"/>
    <n v="17613"/>
    <n v="16865"/>
    <n v="297"/>
    <s v="#FutureOfDriving"/>
    <m/>
    <m/>
    <s v="FSDUpdate"/>
    <n v="0.17441662408448305"/>
    <m/>
  </r>
  <r>
    <s v="P129"/>
    <x v="1"/>
    <s v="2024-07-21"/>
    <x v="5"/>
    <s v="Check out our latest text on twitter!"/>
    <n v="2147"/>
    <n v="430"/>
    <n v="393"/>
    <n v="17176"/>
    <n v="16483"/>
    <n v="170"/>
    <s v="#TeslaCoInnovation"/>
    <m/>
    <m/>
    <m/>
    <n v="0.17291569632044715"/>
    <m/>
  </r>
  <r>
    <s v="P028"/>
    <x v="0"/>
    <s v="2025-03-04"/>
    <x v="2"/>
    <s v="Check out our latest video on instagram!"/>
    <n v="432"/>
    <n v="624"/>
    <n v="123"/>
    <n v="6912"/>
    <n v="6259"/>
    <n v="79"/>
    <s v="#FutureOfDriving"/>
    <m/>
    <m/>
    <s v="SustainabilityDrive"/>
    <n v="0.17057291666666666"/>
    <m/>
  </r>
  <r>
    <s v="P046"/>
    <x v="1"/>
    <s v="2025-05-02"/>
    <x v="2"/>
    <s v="Check out our latest video on twitter!"/>
    <n v="1108"/>
    <n v="177"/>
    <n v="212"/>
    <n v="8864"/>
    <n v="8710"/>
    <n v="97"/>
    <s v="#TeslaCoInnovation"/>
    <m/>
    <m/>
    <s v="SustainabilityDrive"/>
    <n v="0.16888537906137185"/>
    <m/>
  </r>
  <r>
    <s v="P089"/>
    <x v="1"/>
    <s v="2025-01-10"/>
    <x v="4"/>
    <s v="Check out our latest image on twitter!"/>
    <n v="2214"/>
    <n v="249"/>
    <n v="152"/>
    <n v="15498"/>
    <n v="14800"/>
    <n v="180"/>
    <s v="#EVRevolution"/>
    <m/>
    <m/>
    <m/>
    <n v="0.16873144921925409"/>
    <m/>
  </r>
  <r>
    <s v="P094"/>
    <x v="0"/>
    <s v="2024-11-07"/>
    <x v="4"/>
    <s v="Check out our latest image on instagram!"/>
    <n v="2647"/>
    <n v="304"/>
    <n v="170"/>
    <n v="18529"/>
    <n v="17841"/>
    <n v="46"/>
    <s v="#FutureOfDriving"/>
    <m/>
    <m/>
    <s v="FSDUpdate"/>
    <n v="0.16843866371633656"/>
    <m/>
  </r>
  <r>
    <s v="P116"/>
    <x v="2"/>
    <s v="2025-03-18"/>
    <x v="1"/>
    <s v="Check out our latest reel on youtube!"/>
    <n v="3704"/>
    <n v="186"/>
    <n v="458"/>
    <n v="25928"/>
    <n v="25081"/>
    <n v="131"/>
    <s v="#TeslaCoInnovation"/>
    <m/>
    <m/>
    <m/>
    <n v="0.16769515581610614"/>
    <m/>
  </r>
  <r>
    <s v="P275"/>
    <x v="3"/>
    <s v="2024-08-05"/>
    <x v="1"/>
    <s v="Check out our latest reel on facebook!"/>
    <n v="1741"/>
    <n v="831"/>
    <n v="345"/>
    <n v="17410"/>
    <n v="16844"/>
    <n v="58"/>
    <s v="#EVRevolution"/>
    <m/>
    <m/>
    <s v="FSDUpdate"/>
    <n v="0.16754738655944859"/>
    <m/>
  </r>
  <r>
    <s v="P109"/>
    <x v="1"/>
    <s v="2024-08-08"/>
    <x v="0"/>
    <s v="Check out our latest story on twitter!"/>
    <n v="3649"/>
    <n v="215"/>
    <n v="413"/>
    <n v="25543"/>
    <n v="24963"/>
    <n v="167"/>
    <s v="#FutureOfDriving"/>
    <m/>
    <m/>
    <s v="FSDUpdate"/>
    <n v="0.16744313510550835"/>
    <m/>
  </r>
  <r>
    <s v="P047"/>
    <x v="1"/>
    <s v="2025-02-24"/>
    <x v="3"/>
    <s v="Check out our latest carousel on twitter!"/>
    <n v="2704"/>
    <n v="752"/>
    <n v="153"/>
    <n v="21632"/>
    <n v="20792"/>
    <n v="127"/>
    <s v="#FutureOfDriving"/>
    <m/>
    <m/>
    <m/>
    <n v="0.16683616863905326"/>
    <m/>
  </r>
  <r>
    <s v="P295"/>
    <x v="1"/>
    <s v="2025-05-06"/>
    <x v="4"/>
    <s v="Check out our latest image on twitter!"/>
    <n v="1952"/>
    <n v="344"/>
    <n v="287"/>
    <n v="15616"/>
    <n v="15403"/>
    <n v="235"/>
    <s v="#FutureOfDriving"/>
    <s v="#TeslaCoInnovation"/>
    <s v="#AnytimeIsTeslaTime"/>
    <s v="ModelYCampaign"/>
    <n v="0.16540727459016394"/>
    <m/>
  </r>
  <r>
    <s v="P054"/>
    <x v="2"/>
    <s v="2025-03-13"/>
    <x v="3"/>
    <s v="Check out our latest carousel on youtube!"/>
    <n v="1686"/>
    <n v="904"/>
    <n v="472"/>
    <n v="18546"/>
    <n v="18171"/>
    <n v="52"/>
    <s v="#FutureOfDriving"/>
    <m/>
    <m/>
    <s v="ModelYCampaign"/>
    <n v="0.16510298716704411"/>
    <m/>
  </r>
  <r>
    <s v="P060"/>
    <x v="0"/>
    <s v="2025-01-28"/>
    <x v="2"/>
    <s v="Check out our latest video on instagram!"/>
    <n v="904"/>
    <n v="973"/>
    <n v="63"/>
    <n v="11752"/>
    <n v="11580"/>
    <n v="84"/>
    <s v="#EVRevolution"/>
    <s v="#TeslaCoInnovation"/>
    <s v="#AnytimeIsTeslaTime"/>
    <s v="FSDUpdate"/>
    <n v="0.1650782845473111"/>
    <m/>
  </r>
  <r>
    <s v="P083"/>
    <x v="2"/>
    <s v="2024-10-15"/>
    <x v="2"/>
    <s v="Check out our latest video on youtube!"/>
    <n v="1094"/>
    <n v="472"/>
    <n v="21"/>
    <n v="9846"/>
    <n v="9609"/>
    <n v="112"/>
    <s v="#EVRevolution"/>
    <m/>
    <m/>
    <m/>
    <n v="0.16118220597196831"/>
    <m/>
  </r>
  <r>
    <s v="P138"/>
    <x v="1"/>
    <s v="2025-03-29"/>
    <x v="4"/>
    <s v="Check out our latest image on twitter!"/>
    <n v="305"/>
    <n v="187"/>
    <n v="243"/>
    <n v="4575"/>
    <n v="3704"/>
    <n v="234"/>
    <s v="#FutureOfDriving"/>
    <m/>
    <m/>
    <s v="FSDUpdate"/>
    <n v="0.16065573770491803"/>
    <m/>
  </r>
  <r>
    <s v="P221"/>
    <x v="3"/>
    <s v="2025-03-23"/>
    <x v="2"/>
    <s v="Check out our latest video on facebook!"/>
    <n v="4453"/>
    <n v="111"/>
    <n v="420"/>
    <n v="31171"/>
    <n v="30565"/>
    <n v="23"/>
    <s v="#TeslaCoInnovation"/>
    <m/>
    <m/>
    <m/>
    <n v="0.15989220750056141"/>
    <m/>
  </r>
  <r>
    <s v="P252"/>
    <x v="3"/>
    <s v="2025-04-28"/>
    <x v="3"/>
    <s v="Check out our latest carousel on facebook!"/>
    <n v="2089"/>
    <n v="476"/>
    <n v="69"/>
    <n v="16712"/>
    <n v="16309"/>
    <n v="64"/>
    <s v="#FutureOfDriving"/>
    <m/>
    <m/>
    <s v="FSDUpdate"/>
    <n v="0.15761129727142173"/>
    <m/>
  </r>
  <r>
    <s v="P052"/>
    <x v="3"/>
    <s v="2025-01-03"/>
    <x v="4"/>
    <s v="Check out our latest image on facebook!"/>
    <n v="947"/>
    <n v="338"/>
    <n v="350"/>
    <n v="10417"/>
    <n v="9730"/>
    <n v="34"/>
    <s v="#TeslaCoInnovation"/>
    <m/>
    <m/>
    <s v="SustainabilityDrive"/>
    <n v="0.1569549774407219"/>
    <m/>
  </r>
  <r>
    <s v="P140"/>
    <x v="3"/>
    <s v="2024-07-15"/>
    <x v="4"/>
    <s v="Check out our latest image on facebook!"/>
    <n v="2291"/>
    <n v="78"/>
    <n v="485"/>
    <n v="18328"/>
    <n v="18101"/>
    <n v="10"/>
    <s v="#EVRevolution"/>
    <s v="#SmoothLikeNitroTesla"/>
    <m/>
    <s v="ModelYCampaign"/>
    <n v="0.15571802706241816"/>
    <m/>
  </r>
  <r>
    <s v="P165"/>
    <x v="1"/>
    <s v="2024-12-11"/>
    <x v="5"/>
    <s v="Check out our latest text on twitter!"/>
    <n v="3239"/>
    <n v="43"/>
    <n v="211"/>
    <n v="22673"/>
    <n v="22171"/>
    <n v="230"/>
    <s v="#TeslaCoInnovation"/>
    <m/>
    <m/>
    <s v="ModelYCampaign"/>
    <n v="0.15405989502933004"/>
    <m/>
  </r>
  <r>
    <s v="P164"/>
    <x v="2"/>
    <s v="2025-02-27"/>
    <x v="5"/>
    <s v="Check out our latest text on youtube!"/>
    <n v="4934"/>
    <n v="971"/>
    <n v="156"/>
    <n v="39472"/>
    <n v="39025"/>
    <n v="169"/>
    <s v="#TeslaCoInnovation"/>
    <s v="#AnytimeIsTeslaTime"/>
    <m/>
    <s v="SustainabilityDrive"/>
    <n v="0.15355188488042157"/>
    <m/>
  </r>
  <r>
    <s v="P262"/>
    <x v="2"/>
    <s v="2025-01-18"/>
    <x v="4"/>
    <s v="Check out our latest image on youtube!"/>
    <n v="1206"/>
    <n v="238"/>
    <n v="36"/>
    <n v="9648"/>
    <n v="9417"/>
    <n v="237"/>
    <s v="#TeslaCoInnovation"/>
    <m/>
    <m/>
    <m/>
    <n v="0.15339966832504145"/>
    <m/>
  </r>
  <r>
    <s v="P147"/>
    <x v="0"/>
    <s v="2024-10-21"/>
    <x v="1"/>
    <s v="Check out our latest reel on instagram!"/>
    <n v="3256"/>
    <n v="459"/>
    <n v="266"/>
    <n v="26048"/>
    <n v="25529"/>
    <n v="143"/>
    <s v="#TeslaCoInnovation"/>
    <m/>
    <m/>
    <s v="ModelYCampaign"/>
    <n v="0.15283323095823095"/>
    <m/>
  </r>
  <r>
    <s v="P004"/>
    <x v="0"/>
    <s v="2024-08-12"/>
    <x v="0"/>
    <s v="Check out our latest story on instagram!"/>
    <n v="2404"/>
    <n v="363"/>
    <n v="138"/>
    <n v="19232"/>
    <n v="18636"/>
    <n v="128"/>
    <s v="#EVRevolution"/>
    <m/>
    <m/>
    <s v="SustainabilityDrive"/>
    <n v="0.15105033277870217"/>
    <m/>
  </r>
  <r>
    <s v="P014"/>
    <x v="3"/>
    <s v="2025-02-16"/>
    <x v="0"/>
    <s v="Check out our latest story on facebook!"/>
    <n v="4242"/>
    <n v="555"/>
    <n v="131"/>
    <n v="33936"/>
    <n v="33802"/>
    <n v="265"/>
    <s v="#FutureOfDriving"/>
    <m/>
    <m/>
    <m/>
    <n v="0.14521452145214522"/>
    <m/>
  </r>
  <r>
    <s v="P192"/>
    <x v="0"/>
    <s v="2024-11-29"/>
    <x v="2"/>
    <s v="Check out our latest video on instagram!"/>
    <n v="1176"/>
    <n v="464"/>
    <n v="394"/>
    <n v="14112"/>
    <n v="13588"/>
    <n v="272"/>
    <s v="#EVRevolution"/>
    <m/>
    <m/>
    <m/>
    <n v="0.1441326530612245"/>
    <m/>
  </r>
  <r>
    <s v="P173"/>
    <x v="1"/>
    <s v="2024-12-05"/>
    <x v="2"/>
    <s v="Check out our latest video on twitter!"/>
    <n v="1330"/>
    <n v="925"/>
    <n v="35"/>
    <n v="15960"/>
    <n v="15379"/>
    <n v="229"/>
    <s v="#FutureOfDriving"/>
    <m/>
    <m/>
    <s v="FSDUpdate"/>
    <n v="0.14348370927318296"/>
    <m/>
  </r>
  <r>
    <s v="P166"/>
    <x v="1"/>
    <s v="2025-02-16"/>
    <x v="1"/>
    <s v="Check out our latest reel on twitter!"/>
    <n v="1076"/>
    <n v="313"/>
    <n v="306"/>
    <n v="11836"/>
    <n v="11596"/>
    <n v="104"/>
    <s v="#FutureOfDriving"/>
    <m/>
    <m/>
    <s v="CybertruckLaunch"/>
    <n v="0.14320716458262928"/>
    <m/>
  </r>
  <r>
    <s v="P207"/>
    <x v="1"/>
    <s v="2024-12-29"/>
    <x v="3"/>
    <s v="Check out our latest carousel on twitter!"/>
    <n v="4274"/>
    <n v="340"/>
    <n v="281"/>
    <n v="34192"/>
    <n v="33446"/>
    <n v="129"/>
    <s v="#TeslaCoInnovation"/>
    <s v="#SmoothLikeNitroTesla"/>
    <m/>
    <s v="FSDUpdate"/>
    <n v="0.14316214319138981"/>
    <m/>
  </r>
  <r>
    <s v="P061"/>
    <x v="1"/>
    <s v="2024-09-05"/>
    <x v="2"/>
    <s v="Check out our latest video on twitter!"/>
    <n v="4886"/>
    <n v="983"/>
    <n v="409"/>
    <n v="43974"/>
    <n v="43239"/>
    <n v="65"/>
    <s v="#TeslaCoInnovation"/>
    <m/>
    <m/>
    <s v="CybertruckLaunch"/>
    <n v="0.14276618001546368"/>
    <m/>
  </r>
  <r>
    <s v="P125"/>
    <x v="1"/>
    <s v="2024-09-08"/>
    <x v="3"/>
    <s v="Check out our latest carousel on twitter!"/>
    <n v="3811"/>
    <n v="866"/>
    <n v="216"/>
    <n v="34299"/>
    <n v="34088"/>
    <n v="233"/>
    <s v="#TeslaCoInnovation"/>
    <m/>
    <m/>
    <s v="SustainabilityDrive"/>
    <n v="0.14265722032712325"/>
    <m/>
  </r>
  <r>
    <s v="P272"/>
    <x v="0"/>
    <s v="2025-03-27"/>
    <x v="5"/>
    <s v="Check out our latest text on instagram!"/>
    <n v="4941"/>
    <n v="414"/>
    <n v="266"/>
    <n v="39528"/>
    <n v="39154"/>
    <n v="217"/>
    <s v="#TeslaCoInnovation"/>
    <m/>
    <m/>
    <s v="FSDUpdate"/>
    <n v="0.14220299534507186"/>
    <m/>
  </r>
  <r>
    <s v="P040"/>
    <x v="1"/>
    <s v="2025-03-07"/>
    <x v="4"/>
    <s v="Check out our latest image on twitter!"/>
    <n v="4750"/>
    <n v="151"/>
    <n v="415"/>
    <n v="38000"/>
    <n v="37792"/>
    <n v="299"/>
    <s v="#EVRevolution"/>
    <m/>
    <m/>
    <s v="SustainabilityDrive"/>
    <n v="0.13989473684210527"/>
    <m/>
  </r>
  <r>
    <s v="P299"/>
    <x v="3"/>
    <s v="2024-08-26"/>
    <x v="4"/>
    <s v="Check out our latest image on facebook!"/>
    <n v="2581"/>
    <n v="517"/>
    <n v="117"/>
    <n v="23229"/>
    <n v="22331"/>
    <n v="70"/>
    <s v="#FutureOfDriving"/>
    <m/>
    <m/>
    <s v="FSDUpdate"/>
    <n v="0.13840458048129492"/>
    <m/>
  </r>
  <r>
    <s v="P174"/>
    <x v="3"/>
    <s v="2024-06-22"/>
    <x v="5"/>
    <s v="Check out our latest text on facebook!"/>
    <n v="3828"/>
    <n v="148"/>
    <n v="253"/>
    <n v="30624"/>
    <n v="30229"/>
    <n v="235"/>
    <s v="#EVRevolution"/>
    <m/>
    <m/>
    <m/>
    <n v="0.13809430512016718"/>
    <m/>
  </r>
  <r>
    <s v="P104"/>
    <x v="2"/>
    <s v="2025-03-23"/>
    <x v="0"/>
    <s v="Check out our latest story on youtube!"/>
    <n v="3655"/>
    <n v="568"/>
    <n v="286"/>
    <n v="32895"/>
    <n v="32015"/>
    <n v="199"/>
    <s v="#TeslaCoInnovation"/>
    <m/>
    <m/>
    <s v="FSDUpdate"/>
    <n v="0.13707250341997265"/>
    <m/>
  </r>
  <r>
    <s v="P195"/>
    <x v="0"/>
    <s v="2024-08-15"/>
    <x v="3"/>
    <s v="Check out our latest carousel on instagram!"/>
    <n v="914"/>
    <n v="464"/>
    <n v="246"/>
    <n v="11882"/>
    <n v="11500"/>
    <n v="282"/>
    <s v="#FutureOfDriving"/>
    <s v="#TeslaCoInnovation"/>
    <s v="#AnytimeIsTeslaTime"/>
    <s v="SustainabilityDrive"/>
    <n v="0.13667732704931829"/>
    <m/>
  </r>
  <r>
    <s v="P184"/>
    <x v="1"/>
    <s v="2024-07-28"/>
    <x v="4"/>
    <s v="Check out our latest image on twitter!"/>
    <n v="3215"/>
    <n v="960"/>
    <n v="202"/>
    <n v="32150"/>
    <n v="31404"/>
    <n v="251"/>
    <s v="#EVRevolution"/>
    <m/>
    <m/>
    <s v="CybertruckLaunch"/>
    <n v="0.13614307931570763"/>
    <m/>
  </r>
  <r>
    <s v="P092"/>
    <x v="1"/>
    <s v="2024-10-21"/>
    <x v="0"/>
    <s v="Check out our latest story on twitter!"/>
    <n v="3801"/>
    <n v="967"/>
    <n v="401"/>
    <n v="38010"/>
    <n v="37625"/>
    <n v="236"/>
    <s v="#FutureOfDriving"/>
    <m/>
    <m/>
    <s v="FSDUpdate"/>
    <n v="0.13599052880820836"/>
    <m/>
  </r>
  <r>
    <s v="P088"/>
    <x v="3"/>
    <s v="2024-07-07"/>
    <x v="0"/>
    <s v="Check out our latest story on facebook!"/>
    <n v="302"/>
    <n v="47"/>
    <n v="430"/>
    <n v="5738"/>
    <n v="4890"/>
    <n v="25"/>
    <s v="#TeslaCoInnovation"/>
    <m/>
    <m/>
    <s v="SustainabilityDrive"/>
    <n v="0.13576158940397351"/>
    <m/>
  </r>
  <r>
    <s v="P285"/>
    <x v="2"/>
    <s v="2024-07-18"/>
    <x v="5"/>
    <s v="Check out our latest text on youtube!"/>
    <n v="4021"/>
    <n v="794"/>
    <n v="77"/>
    <n v="36189"/>
    <n v="35505"/>
    <n v="174"/>
    <s v="#EVRevolution"/>
    <m/>
    <m/>
    <m/>
    <n v="0.13517919809886983"/>
    <m/>
  </r>
  <r>
    <s v="P050"/>
    <x v="2"/>
    <s v="2024-07-03"/>
    <x v="0"/>
    <s v="Check out our latest story on youtube!"/>
    <n v="2754"/>
    <n v="130"/>
    <n v="90"/>
    <n v="22032"/>
    <n v="21288"/>
    <n v="112"/>
    <s v="#TeslaCoInnovation"/>
    <m/>
    <m/>
    <s v="FSDUpdate"/>
    <n v="0.13498547567175018"/>
    <m/>
  </r>
  <r>
    <s v="P132"/>
    <x v="0"/>
    <s v="2025-03-04"/>
    <x v="0"/>
    <s v="Check out our latest story on instagram!"/>
    <n v="1947"/>
    <n v="842"/>
    <n v="101"/>
    <n v="21417"/>
    <n v="20967"/>
    <n v="186"/>
    <s v="#FutureOfDriving"/>
    <m/>
    <m/>
    <s v="ModelYCampaign"/>
    <n v="0.13493953401503478"/>
    <m/>
  </r>
  <r>
    <s v="P229"/>
    <x v="0"/>
    <s v="2024-07-03"/>
    <x v="3"/>
    <s v="Check out our latest carousel on instagram!"/>
    <n v="4799"/>
    <n v="694"/>
    <n v="289"/>
    <n v="43191"/>
    <n v="42228"/>
    <n v="118"/>
    <s v="#TeslaCoInnovation"/>
    <m/>
    <m/>
    <m/>
    <n v="0.13387048227640017"/>
    <m/>
  </r>
  <r>
    <s v="P074"/>
    <x v="2"/>
    <s v="2024-10-28"/>
    <x v="1"/>
    <s v="Check out our latest reel on youtube!"/>
    <n v="1855"/>
    <n v="200"/>
    <n v="174"/>
    <n v="16695"/>
    <n v="16330"/>
    <n v="123"/>
    <s v="#TeslaCoInnovation"/>
    <m/>
    <m/>
    <s v="FSDUpdate"/>
    <n v="0.13351302785265048"/>
    <m/>
  </r>
  <r>
    <s v="P254"/>
    <x v="1"/>
    <s v="2025-01-14"/>
    <x v="4"/>
    <s v="Check out our latest image on twitter!"/>
    <n v="2692"/>
    <n v="115"/>
    <n v="64"/>
    <n v="21536"/>
    <n v="21120"/>
    <n v="224"/>
    <s v="#FutureOfDriving"/>
    <m/>
    <m/>
    <s v="ModelYCampaign"/>
    <n v="0.13331166419019316"/>
    <m/>
  </r>
  <r>
    <s v="P131"/>
    <x v="0"/>
    <s v="2024-10-21"/>
    <x v="1"/>
    <s v="Check out our latest reel on instagram!"/>
    <n v="4840"/>
    <n v="658"/>
    <n v="211"/>
    <n v="43560"/>
    <n v="43225"/>
    <n v="57"/>
    <s v="#FutureOfDriving"/>
    <m/>
    <m/>
    <s v="FSDUpdate"/>
    <n v="0.13106060606060607"/>
    <m/>
  </r>
  <r>
    <s v="P236"/>
    <x v="3"/>
    <s v="2024-08-19"/>
    <x v="5"/>
    <s v="Check out our latest text on facebook!"/>
    <n v="1257"/>
    <n v="19"/>
    <n v="351"/>
    <n v="12570"/>
    <n v="11660"/>
    <n v="194"/>
    <s v="#FutureOfDriving"/>
    <s v="#AnytimeIsTeslaTime"/>
    <s v="#EVRevolution"/>
    <s v="ModelYCampaign"/>
    <n v="0.12943516308671441"/>
    <m/>
  </r>
  <r>
    <s v="P114"/>
    <x v="1"/>
    <s v="2024-11-14"/>
    <x v="0"/>
    <s v="Check out our latest story on twitter!"/>
    <n v="4000"/>
    <n v="689"/>
    <n v="488"/>
    <n v="40000"/>
    <n v="39569"/>
    <n v="44"/>
    <s v="#FutureOfDriving"/>
    <m/>
    <m/>
    <s v="CybertruckLaunch"/>
    <n v="0.12942500000000001"/>
    <m/>
  </r>
  <r>
    <s v="P056"/>
    <x v="3"/>
    <s v="2024-12-18"/>
    <x v="3"/>
    <s v="Check out our latest carousel on facebook!"/>
    <n v="2946"/>
    <n v="498"/>
    <n v="367"/>
    <n v="29460"/>
    <n v="28527"/>
    <n v="60"/>
    <s v="#FutureOfDriving"/>
    <m/>
    <m/>
    <s v="FSDUpdate"/>
    <n v="0.12936184657162253"/>
    <m/>
  </r>
  <r>
    <s v="P105"/>
    <x v="0"/>
    <s v="2024-06-14"/>
    <x v="3"/>
    <s v="Check out our latest carousel on instagram!"/>
    <n v="498"/>
    <n v="38"/>
    <n v="42"/>
    <n v="4482"/>
    <n v="3647"/>
    <n v="32"/>
    <s v="#FutureOfDriving"/>
    <m/>
    <m/>
    <s v="CybertruckLaunch"/>
    <n v="0.12896028558679162"/>
    <m/>
  </r>
  <r>
    <s v="P012"/>
    <x v="3"/>
    <s v="2024-07-21"/>
    <x v="1"/>
    <s v="Check out our latest reel on facebook!"/>
    <n v="1946"/>
    <n v="686"/>
    <n v="377"/>
    <n v="23352"/>
    <n v="22982"/>
    <n v="213"/>
    <s v="#FutureOfDriving"/>
    <m/>
    <m/>
    <s v="FSDUpdate"/>
    <n v="0.12885405960945528"/>
    <m/>
  </r>
  <r>
    <s v="P235"/>
    <x v="3"/>
    <s v="2024-12-22"/>
    <x v="4"/>
    <s v="Check out our latest image on facebook!"/>
    <n v="3196"/>
    <n v="941"/>
    <n v="376"/>
    <n v="35156"/>
    <n v="34444"/>
    <n v="241"/>
    <s v="#TeslaCoInnovation"/>
    <m/>
    <m/>
    <s v="FSDUpdate"/>
    <n v="0.1283706906360223"/>
    <m/>
  </r>
  <r>
    <s v="P033"/>
    <x v="3"/>
    <s v="2024-08-21"/>
    <x v="4"/>
    <s v="Check out our latest image on facebook!"/>
    <n v="1407"/>
    <n v="400"/>
    <n v="351"/>
    <n v="16884"/>
    <n v="15954"/>
    <n v="113"/>
    <s v="#TeslaCoInnovation"/>
    <m/>
    <m/>
    <s v="CybertruckLaunch"/>
    <n v="0.12781331438047855"/>
    <m/>
  </r>
  <r>
    <s v="P038"/>
    <x v="2"/>
    <s v="2025-02-17"/>
    <x v="1"/>
    <s v="Check out our latest reel on youtube!"/>
    <n v="3138"/>
    <n v="123"/>
    <n v="291"/>
    <n v="28242"/>
    <n v="27550"/>
    <n v="87"/>
    <s v="#TeslaCoInnovation"/>
    <m/>
    <m/>
    <s v="SustainabilityDrive"/>
    <n v="0.12577012959422137"/>
    <m/>
  </r>
  <r>
    <s v="P196"/>
    <x v="0"/>
    <s v="2024-12-19"/>
    <x v="5"/>
    <s v="Check out our latest text on instagram!"/>
    <n v="1813"/>
    <n v="623"/>
    <n v="72"/>
    <n v="19943"/>
    <n v="18959"/>
    <n v="85"/>
    <s v="#EVRevolution"/>
    <m/>
    <m/>
    <s v="FSDUpdate"/>
    <n v="0.12575841147269717"/>
    <m/>
  </r>
  <r>
    <s v="P128"/>
    <x v="1"/>
    <s v="2025-01-10"/>
    <x v="4"/>
    <s v="Check out our latest image on twitter!"/>
    <n v="3092"/>
    <n v="106"/>
    <n v="291"/>
    <n v="27828"/>
    <n v="27217"/>
    <n v="102"/>
    <s v="#FutureOfDriving"/>
    <m/>
    <m/>
    <m/>
    <n v="0.12537731780940059"/>
    <m/>
  </r>
  <r>
    <s v="P169"/>
    <x v="2"/>
    <s v="2024-12-03"/>
    <x v="2"/>
    <s v="Check out our latest video on youtube!"/>
    <n v="3809"/>
    <n v="273"/>
    <n v="200"/>
    <n v="34281"/>
    <n v="33534"/>
    <n v="83"/>
    <s v="#EVRevolution"/>
    <m/>
    <m/>
    <s v="CybertruckLaunch"/>
    <n v="0.12490884163239112"/>
    <m/>
  </r>
  <r>
    <s v="P293"/>
    <x v="3"/>
    <s v="2025-05-14"/>
    <x v="5"/>
    <s v="Check out our latest text on facebook!"/>
    <n v="2634"/>
    <n v="726"/>
    <n v="241"/>
    <n v="28974"/>
    <n v="28102"/>
    <n v="277"/>
    <s v="#EVRevolution"/>
    <m/>
    <m/>
    <s v="CybertruckLaunch"/>
    <n v="0.12428384068475185"/>
    <m/>
  </r>
  <r>
    <s v="P292"/>
    <x v="3"/>
    <s v="2024-11-17"/>
    <x v="5"/>
    <s v="Check out our latest text on facebook!"/>
    <n v="880"/>
    <n v="297"/>
    <n v="345"/>
    <n v="12320"/>
    <n v="11978"/>
    <n v="238"/>
    <s v="#TeslaCoInnovation"/>
    <s v="#AnytimeIsTeslaTime"/>
    <m/>
    <m/>
    <n v="0.12353896103896105"/>
    <m/>
  </r>
  <r>
    <s v="P212"/>
    <x v="2"/>
    <s v="2025-03-03"/>
    <x v="2"/>
    <s v="Check out our latest video on youtube!"/>
    <n v="3874"/>
    <n v="884"/>
    <n v="19"/>
    <n v="38740"/>
    <n v="38552"/>
    <n v="219"/>
    <s v="#TeslaCoInnovation"/>
    <m/>
    <m/>
    <s v="ModelYCampaign"/>
    <n v="0.123309241094476"/>
    <m/>
  </r>
  <r>
    <s v="P110"/>
    <x v="0"/>
    <s v="2024-07-29"/>
    <x v="1"/>
    <s v="Check out our latest reel on instagram!"/>
    <n v="3523"/>
    <n v="753"/>
    <n v="482"/>
    <n v="38753"/>
    <n v="38579"/>
    <n v="270"/>
    <s v="#EVRevolution"/>
    <m/>
    <m/>
    <s v="ModelYCampaign"/>
    <n v="0.12277759141227776"/>
    <m/>
  </r>
  <r>
    <s v="P245"/>
    <x v="3"/>
    <s v="2025-01-12"/>
    <x v="1"/>
    <s v="Check out our latest reel on facebook!"/>
    <n v="4134"/>
    <n v="824"/>
    <n v="99"/>
    <n v="41340"/>
    <n v="41050"/>
    <n v="177"/>
    <s v="#EVRevolution"/>
    <m/>
    <m/>
    <s v="CybertruckLaunch"/>
    <n v="0.12232704402515723"/>
    <m/>
  </r>
  <r>
    <s v="P075"/>
    <x v="0"/>
    <s v="2024-08-01"/>
    <x v="1"/>
    <s v="Check out our latest reel on instagram!"/>
    <n v="1674"/>
    <n v="929"/>
    <n v="37"/>
    <n v="21762"/>
    <n v="20998"/>
    <n v="255"/>
    <s v="#TeslaCoInnovation"/>
    <m/>
    <m/>
    <s v="SustainabilityDrive"/>
    <n v="0.12131237937689551"/>
    <m/>
  </r>
  <r>
    <s v="P255"/>
    <x v="3"/>
    <s v="2025-04-03"/>
    <x v="0"/>
    <s v="Check out our latest story on facebook!"/>
    <n v="3767"/>
    <n v="514"/>
    <n v="238"/>
    <n v="37670"/>
    <n v="36807"/>
    <n v="226"/>
    <s v="#FutureOfDriving"/>
    <m/>
    <m/>
    <s v="SustainabilityDrive"/>
    <n v="0.11996283514733209"/>
    <m/>
  </r>
  <r>
    <s v="P071"/>
    <x v="2"/>
    <s v="2024-09-02"/>
    <x v="3"/>
    <s v="Check out our latest carousel on youtube!"/>
    <n v="2551"/>
    <n v="915"/>
    <n v="205"/>
    <n v="30612"/>
    <n v="30360"/>
    <n v="227"/>
    <s v="#TeslaCoInnovation"/>
    <m/>
    <m/>
    <s v="ModelYCampaign"/>
    <n v="0.1199202926956749"/>
    <m/>
  </r>
  <r>
    <s v="P065"/>
    <x v="0"/>
    <s v="2025-03-28"/>
    <x v="0"/>
    <s v="Check out our latest story on instagram!"/>
    <n v="1881"/>
    <n v="501"/>
    <n v="99"/>
    <n v="20691"/>
    <n v="19987"/>
    <n v="289"/>
    <s v="#EVRevolution"/>
    <m/>
    <m/>
    <m/>
    <n v="0.11990720603160794"/>
    <m/>
  </r>
  <r>
    <s v="P247"/>
    <x v="3"/>
    <s v="2024-08-27"/>
    <x v="1"/>
    <s v="Check out our latest reel on facebook!"/>
    <n v="3960"/>
    <n v="266"/>
    <n v="8"/>
    <n v="35640"/>
    <n v="34850"/>
    <n v="208"/>
    <s v="#FutureOfDriving"/>
    <s v="#EVRevolution"/>
    <s v="#BetterWithTesla"/>
    <m/>
    <n v="0.11879910213243547"/>
    <m/>
  </r>
  <r>
    <s v="P035"/>
    <x v="0"/>
    <s v="2024-11-30"/>
    <x v="2"/>
    <s v="Check out our latest video on instagram!"/>
    <n v="3775"/>
    <n v="16"/>
    <n v="239"/>
    <n v="33975"/>
    <n v="33310"/>
    <n v="271"/>
    <s v="#FutureOfDriving"/>
    <m/>
    <m/>
    <s v="ModelYCampaign"/>
    <n v="0.11861662987490802"/>
    <m/>
  </r>
  <r>
    <s v="P117"/>
    <x v="1"/>
    <s v="2024-11-04"/>
    <x v="4"/>
    <s v="Check out our latest image on twitter!"/>
    <n v="1606"/>
    <n v="451"/>
    <n v="405"/>
    <n v="20878"/>
    <n v="20190"/>
    <n v="219"/>
    <s v="#EVRevolution"/>
    <m/>
    <m/>
    <s v="SustainabilityDrive"/>
    <n v="0.11792317271769326"/>
    <m/>
  </r>
  <r>
    <s v="P251"/>
    <x v="0"/>
    <s v="2025-03-27"/>
    <x v="3"/>
    <s v="Check out our latest carousel on instagram!"/>
    <n v="1377"/>
    <n v="796"/>
    <n v="387"/>
    <n v="22032"/>
    <n v="21869"/>
    <n v="189"/>
    <s v="#FutureOfDriving"/>
    <m/>
    <m/>
    <m/>
    <n v="0.11619462599854757"/>
    <m/>
  </r>
  <r>
    <s v="P011"/>
    <x v="0"/>
    <s v="2025-02-02"/>
    <x v="0"/>
    <s v="Check out our latest story on instagram!"/>
    <n v="1792"/>
    <n v="614"/>
    <n v="497"/>
    <n v="25088"/>
    <n v="24675"/>
    <n v="65"/>
    <s v="#FutureOfDriving"/>
    <m/>
    <m/>
    <s v="SustainabilityDrive"/>
    <n v="0.11571269132653061"/>
    <m/>
  </r>
  <r>
    <s v="P161"/>
    <x v="1"/>
    <s v="2025-02-19"/>
    <x v="5"/>
    <s v="Check out our latest text on twitter!"/>
    <n v="4671"/>
    <n v="876"/>
    <n v="366"/>
    <n v="51381"/>
    <n v="50565"/>
    <n v="245"/>
    <s v="#TeslaCoInnovation"/>
    <m/>
    <m/>
    <s v="SustainabilityDrive"/>
    <n v="0.11508145034156594"/>
    <m/>
  </r>
  <r>
    <s v="P155"/>
    <x v="2"/>
    <s v="2024-12-21"/>
    <x v="4"/>
    <s v="Check out our latest image on youtube!"/>
    <n v="2283"/>
    <n v="210"/>
    <n v="130"/>
    <n v="22830"/>
    <n v="22617"/>
    <n v="143"/>
    <s v="#FutureOfDriving"/>
    <m/>
    <m/>
    <s v="ModelYCampaign"/>
    <n v="0.11489268506351293"/>
    <m/>
  </r>
  <r>
    <s v="P284"/>
    <x v="1"/>
    <s v="2024-09-17"/>
    <x v="5"/>
    <s v="Check out our latest text on twitter!"/>
    <n v="571"/>
    <n v="190"/>
    <n v="352"/>
    <n v="9707"/>
    <n v="9418"/>
    <n v="231"/>
    <s v="#TeslaCoInnovation"/>
    <m/>
    <m/>
    <s v="SustainabilityDrive"/>
    <n v="0.11465952405480581"/>
    <m/>
  </r>
  <r>
    <s v="P113"/>
    <x v="1"/>
    <s v="2024-10-02"/>
    <x v="3"/>
    <s v="Check out our latest carousel on twitter!"/>
    <n v="4419"/>
    <n v="236"/>
    <n v="369"/>
    <n v="44190"/>
    <n v="43582"/>
    <n v="10"/>
    <s v="#EVRevolution"/>
    <m/>
    <m/>
    <s v="CybertruckLaunch"/>
    <n v="0.11369088028965829"/>
    <m/>
  </r>
  <r>
    <s v="P158"/>
    <x v="0"/>
    <s v="2024-08-11"/>
    <x v="0"/>
    <s v="Check out our latest story on instagram!"/>
    <n v="1762"/>
    <n v="405"/>
    <n v="423"/>
    <n v="22906"/>
    <n v="21925"/>
    <n v="25"/>
    <s v="#TeslaCoInnovation"/>
    <m/>
    <m/>
    <s v="CybertruckLaunch"/>
    <n v="0.11307081114118571"/>
    <m/>
  </r>
  <r>
    <s v="P098"/>
    <x v="1"/>
    <s v="2024-06-10"/>
    <x v="0"/>
    <s v="Check out our latest story on twitter!"/>
    <n v="1575"/>
    <n v="771"/>
    <n v="486"/>
    <n v="25200"/>
    <n v="24826"/>
    <n v="17"/>
    <s v="#FutureOfDriving"/>
    <m/>
    <m/>
    <s v="SustainabilityDrive"/>
    <n v="0.11238095238095239"/>
    <m/>
  </r>
  <r>
    <s v="P227"/>
    <x v="0"/>
    <s v="2024-06-12"/>
    <x v="5"/>
    <s v="Check out our latest text on instagram!"/>
    <n v="246"/>
    <n v="149"/>
    <n v="130"/>
    <n v="4674"/>
    <n v="4390"/>
    <n v="217"/>
    <s v="#FutureOfDriving"/>
    <m/>
    <m/>
    <s v="FSDUpdate"/>
    <n v="0.11232349165596919"/>
    <m/>
  </r>
  <r>
    <s v="P222"/>
    <x v="3"/>
    <s v="2024-10-08"/>
    <x v="1"/>
    <s v="Check out our latest reel on facebook!"/>
    <n v="1814"/>
    <n v="653"/>
    <n v="363"/>
    <n v="25396"/>
    <n v="25286"/>
    <n v="39"/>
    <s v="#FutureOfDriving"/>
    <s v="#SmoothLikeNitroTesla"/>
    <m/>
    <s v="CybertruckLaunch"/>
    <n v="0.11143487163332809"/>
    <m/>
  </r>
  <r>
    <s v="P278"/>
    <x v="1"/>
    <s v="2024-11-26"/>
    <x v="5"/>
    <s v="Check out our latest text on twitter!"/>
    <n v="4516"/>
    <n v="836"/>
    <n v="169"/>
    <n v="49676"/>
    <n v="49257"/>
    <n v="282"/>
    <s v="#EVRevolution"/>
    <m/>
    <m/>
    <s v="SustainabilityDrive"/>
    <n v="0.11114018842096787"/>
    <m/>
  </r>
  <r>
    <s v="P151"/>
    <x v="0"/>
    <s v="2024-07-26"/>
    <x v="4"/>
    <s v="Check out our latest image on instagram!"/>
    <n v="3559"/>
    <n v="59"/>
    <n v="289"/>
    <n v="35590"/>
    <n v="35105"/>
    <n v="122"/>
    <s v="#EVRevolution"/>
    <m/>
    <m/>
    <s v="CybertruckLaunch"/>
    <n v="0.10977802753582468"/>
    <m/>
  </r>
  <r>
    <s v="P156"/>
    <x v="3"/>
    <s v="2024-10-22"/>
    <x v="3"/>
    <s v="Check out our latest carousel on facebook!"/>
    <n v="3352"/>
    <n v="941"/>
    <n v="482"/>
    <n v="43576"/>
    <n v="43338"/>
    <n v="240"/>
    <s v="#FutureOfDriving"/>
    <m/>
    <m/>
    <s v="ModelYCampaign"/>
    <n v="0.1095786671562328"/>
    <m/>
  </r>
  <r>
    <s v="P157"/>
    <x v="2"/>
    <s v="2024-07-23"/>
    <x v="0"/>
    <s v="Check out our latest story on youtube!"/>
    <n v="4775"/>
    <n v="173"/>
    <n v="206"/>
    <n v="47750"/>
    <n v="47544"/>
    <n v="187"/>
    <s v="#FutureOfDriving"/>
    <m/>
    <m/>
    <s v="ModelYCampaign"/>
    <n v="0.10793717277486911"/>
    <m/>
  </r>
  <r>
    <s v="P206"/>
    <x v="1"/>
    <s v="2024-06-24"/>
    <x v="5"/>
    <s v="Check out our latest text on twitter!"/>
    <n v="941"/>
    <n v="121"/>
    <n v="458"/>
    <n v="14115"/>
    <n v="13838"/>
    <n v="87"/>
    <s v="#EVRevolution"/>
    <m/>
    <m/>
    <s v="CybertruckLaunch"/>
    <n v="0.10768685795253277"/>
    <m/>
  </r>
  <r>
    <s v="P282"/>
    <x v="0"/>
    <s v="2024-10-03"/>
    <x v="2"/>
    <s v="Check out our latest video on instagram!"/>
    <n v="1488"/>
    <n v="417"/>
    <n v="168"/>
    <n v="19344"/>
    <n v="18395"/>
    <n v="30"/>
    <s v="#FutureOfDriving"/>
    <m/>
    <m/>
    <s v="FSDUpdate"/>
    <n v="0.1071650124069479"/>
    <m/>
  </r>
  <r>
    <s v="P049"/>
    <x v="1"/>
    <s v="2024-06-10"/>
    <x v="0"/>
    <s v="Check out our latest story on twitter!"/>
    <n v="2164"/>
    <n v="549"/>
    <n v="274"/>
    <n v="28132"/>
    <n v="27361"/>
    <n v="177"/>
    <s v="#TeslaCoInnovation"/>
    <m/>
    <m/>
    <s v="SustainabilityDrive"/>
    <n v="0.10617801791554102"/>
    <m/>
  </r>
  <r>
    <s v="P205"/>
    <x v="1"/>
    <s v="2025-04-24"/>
    <x v="2"/>
    <s v="Check out our latest video on twitter!"/>
    <n v="3820"/>
    <n v="697"/>
    <n v="268"/>
    <n v="45840"/>
    <n v="45631"/>
    <n v="171"/>
    <s v="#TeslaCoInnovation"/>
    <s v="#SmoothLikeNitroTesla"/>
    <m/>
    <s v="SustainabilityDrive"/>
    <n v="0.1043848167539267"/>
    <m/>
  </r>
  <r>
    <s v="P008"/>
    <x v="2"/>
    <s v="2024-07-13"/>
    <x v="4"/>
    <s v="Check out our latest image on youtube!"/>
    <n v="3929"/>
    <n v="262"/>
    <n v="278"/>
    <n v="43219"/>
    <n v="42841"/>
    <n v="39"/>
    <s v="#EVRevolution"/>
    <m/>
    <m/>
    <s v="SustainabilityDrive"/>
    <n v="0.10340359564080613"/>
    <m/>
  </r>
  <r>
    <s v="P096"/>
    <x v="1"/>
    <s v="2024-09-10"/>
    <x v="4"/>
    <s v="Check out our latest image on twitter!"/>
    <n v="1238"/>
    <n v="366"/>
    <n v="444"/>
    <n v="19808"/>
    <n v="19334"/>
    <n v="123"/>
    <s v="#FutureOfDriving"/>
    <m/>
    <m/>
    <m/>
    <n v="0.10339256865912763"/>
    <m/>
  </r>
  <r>
    <s v="P018"/>
    <x v="0"/>
    <s v="2024-08-19"/>
    <x v="1"/>
    <s v="Check out our latest reel on instagram!"/>
    <n v="3000"/>
    <n v="382"/>
    <n v="325"/>
    <n v="36000"/>
    <n v="35819"/>
    <n v="19"/>
    <s v="#FutureOfDriving"/>
    <m/>
    <m/>
    <s v="CybertruckLaunch"/>
    <n v="0.10297222222222223"/>
    <m/>
  </r>
  <r>
    <s v="P182"/>
    <x v="3"/>
    <s v="2024-07-31"/>
    <x v="4"/>
    <s v="Check out our latest image on facebook!"/>
    <n v="4689"/>
    <n v="134"/>
    <n v="403"/>
    <n v="51579"/>
    <n v="50924"/>
    <n v="173"/>
    <s v="#TeslaCoInnovation"/>
    <m/>
    <m/>
    <s v="SustainabilityDrive"/>
    <n v="0.10132030477519921"/>
    <m/>
  </r>
  <r>
    <s v="P266"/>
    <x v="3"/>
    <s v="2024-11-25"/>
    <x v="0"/>
    <s v="Check out our latest story on facebook!"/>
    <n v="4182"/>
    <n v="640"/>
    <n v="240"/>
    <n v="50184"/>
    <n v="49351"/>
    <n v="10"/>
    <s v="#TeslaCoInnovation"/>
    <m/>
    <m/>
    <s v="FSDUpdate"/>
    <n v="0.10086880280567512"/>
    <m/>
  </r>
  <r>
    <s v="P019"/>
    <x v="0"/>
    <s v="2024-06-23"/>
    <x v="2"/>
    <s v="Check out our latest video on instagram!"/>
    <n v="1071"/>
    <n v="519"/>
    <n v="22"/>
    <n v="16065"/>
    <n v="15865"/>
    <n v="103"/>
    <s v="#TeslaCoInnovation"/>
    <m/>
    <m/>
    <s v="SustainabilityDrive"/>
    <n v="0.10034235916588857"/>
    <m/>
  </r>
  <r>
    <s v="P108"/>
    <x v="1"/>
    <s v="2025-03-25"/>
    <x v="2"/>
    <s v="Check out our latest video on twitter!"/>
    <n v="4050"/>
    <n v="871"/>
    <n v="347"/>
    <n v="52650"/>
    <n v="51755"/>
    <n v="209"/>
    <s v="#TeslaCoInnovation"/>
    <m/>
    <m/>
    <s v="ModelYCampaign"/>
    <n v="0.10005698005698006"/>
    <m/>
  </r>
  <r>
    <s v="P126"/>
    <x v="0"/>
    <s v="2025-03-28"/>
    <x v="3"/>
    <s v="Check out our latest carousel on instagram!"/>
    <n v="4158"/>
    <n v="167"/>
    <n v="241"/>
    <n v="45738"/>
    <n v="45183"/>
    <n v="142"/>
    <s v="#FutureOfDriving"/>
    <m/>
    <m/>
    <m/>
    <n v="9.9829463465827106E-2"/>
    <m/>
  </r>
  <r>
    <s v="P103"/>
    <x v="3"/>
    <s v="2024-06-11"/>
    <x v="4"/>
    <s v="Check out our latest image on facebook!"/>
    <n v="3689"/>
    <n v="48"/>
    <n v="306"/>
    <n v="40579"/>
    <n v="39588"/>
    <n v="212"/>
    <s v="#EVRevolution"/>
    <m/>
    <m/>
    <s v="ModelYCampaign"/>
    <n v="9.9632815002833983E-2"/>
    <m/>
  </r>
  <r>
    <s v="P191"/>
    <x v="2"/>
    <s v="2024-12-03"/>
    <x v="0"/>
    <s v="Check out our latest story on youtube!"/>
    <n v="4285"/>
    <n v="886"/>
    <n v="376"/>
    <n v="55705"/>
    <n v="55556"/>
    <n v="51"/>
    <s v="#FutureOfDriving"/>
    <m/>
    <m/>
    <s v="FSDUpdate"/>
    <n v="9.9578134817341346E-2"/>
    <m/>
  </r>
  <r>
    <s v="P193"/>
    <x v="1"/>
    <s v="2024-09-11"/>
    <x v="4"/>
    <s v="Check out our latest image on twitter!"/>
    <n v="4858"/>
    <n v="317"/>
    <n v="129"/>
    <n v="53438"/>
    <n v="52687"/>
    <n v="223"/>
    <s v="#EVRevolution"/>
    <m/>
    <m/>
    <s v="FSDUpdate"/>
    <n v="9.9255211647142488E-2"/>
    <m/>
  </r>
  <r>
    <s v="P167"/>
    <x v="0"/>
    <s v="2024-11-28"/>
    <x v="5"/>
    <s v="Check out our latest text on instagram!"/>
    <n v="4771"/>
    <n v="818"/>
    <n v="56"/>
    <n v="57252"/>
    <n v="56378"/>
    <n v="150"/>
    <s v="#FutureOfDriving"/>
    <m/>
    <m/>
    <m/>
    <n v="9.859917557465242E-2"/>
    <m/>
  </r>
  <r>
    <s v="P044"/>
    <x v="1"/>
    <s v="2025-03-02"/>
    <x v="4"/>
    <s v="Check out our latest image on twitter!"/>
    <n v="2358"/>
    <n v="784"/>
    <n v="344"/>
    <n v="35370"/>
    <n v="34475"/>
    <n v="216"/>
    <s v="#TeslaCoInnovation"/>
    <m/>
    <m/>
    <m/>
    <n v="9.8558100084817649E-2"/>
    <m/>
  </r>
  <r>
    <s v="P171"/>
    <x v="2"/>
    <s v="2024-12-31"/>
    <x v="2"/>
    <s v="Check out our latest video on youtube!"/>
    <n v="1018"/>
    <n v="447"/>
    <n v="332"/>
    <n v="18324"/>
    <n v="18164"/>
    <n v="38"/>
    <s v="#FutureOfDriving"/>
    <m/>
    <m/>
    <s v="ModelYCampaign"/>
    <n v="9.8068107400130972E-2"/>
    <m/>
  </r>
  <r>
    <s v="P273"/>
    <x v="2"/>
    <s v="2024-10-12"/>
    <x v="0"/>
    <s v="Check out our latest story on youtube!"/>
    <n v="3641"/>
    <n v="226"/>
    <n v="46"/>
    <n v="40051"/>
    <n v="39319"/>
    <n v="296"/>
    <s v="#EVRevolution"/>
    <m/>
    <m/>
    <s v="SustainabilityDrive"/>
    <n v="9.7700431949264685E-2"/>
    <m/>
  </r>
  <r>
    <s v="P243"/>
    <x v="1"/>
    <s v="2025-03-06"/>
    <x v="4"/>
    <s v="Check out our latest image on twitter!"/>
    <n v="3592"/>
    <n v="911"/>
    <n v="375"/>
    <n v="50288"/>
    <n v="49490"/>
    <n v="32"/>
    <s v="#FutureOfDriving"/>
    <m/>
    <m/>
    <s v="SustainabilityDrive"/>
    <n v="9.7001272669424113E-2"/>
    <m/>
  </r>
  <r>
    <s v="P185"/>
    <x v="0"/>
    <s v="2025-01-11"/>
    <x v="3"/>
    <s v="Check out our latest carousel on instagram!"/>
    <n v="4523"/>
    <n v="61"/>
    <n v="157"/>
    <n v="49753"/>
    <n v="49329"/>
    <n v="71"/>
    <s v="#EVRevolution"/>
    <m/>
    <m/>
    <m/>
    <n v="9.5290736237010829E-2"/>
    <m/>
  </r>
  <r>
    <s v="P081"/>
    <x v="0"/>
    <s v="2024-10-19"/>
    <x v="0"/>
    <s v="Check out our latest story on instagram!"/>
    <n v="1816"/>
    <n v="29"/>
    <n v="41"/>
    <n v="19976"/>
    <n v="19262"/>
    <n v="283"/>
    <s v="#TeslaCoInnovation"/>
    <m/>
    <m/>
    <s v="FSDUpdate"/>
    <n v="9.4413295955146179E-2"/>
    <m/>
  </r>
  <r>
    <s v="P017"/>
    <x v="3"/>
    <s v="2025-05-05"/>
    <x v="5"/>
    <s v="Check out our latest text on facebook!"/>
    <n v="4441"/>
    <n v="511"/>
    <n v="70"/>
    <n v="53292"/>
    <n v="53082"/>
    <n v="159"/>
    <s v="#EVRevolution"/>
    <m/>
    <m/>
    <s v="SustainabilityDrive"/>
    <n v="9.4235532537716729E-2"/>
    <m/>
  </r>
  <r>
    <s v="P139"/>
    <x v="2"/>
    <s v="2024-10-29"/>
    <x v="5"/>
    <s v="Check out our latest text on youtube!"/>
    <n v="2746"/>
    <n v="156"/>
    <n v="203"/>
    <n v="32952"/>
    <n v="32147"/>
    <n v="147"/>
    <s v="#EVRevolution"/>
    <m/>
    <m/>
    <s v="CybertruckLaunch"/>
    <n v="9.422796795338674E-2"/>
    <m/>
  </r>
  <r>
    <s v="P069"/>
    <x v="1"/>
    <s v="2025-03-08"/>
    <x v="5"/>
    <s v="Check out our latest text on twitter!"/>
    <n v="1292"/>
    <n v="626"/>
    <n v="496"/>
    <n v="25840"/>
    <n v="24916"/>
    <n v="149"/>
    <s v="#FutureOfDriving"/>
    <m/>
    <m/>
    <s v="FSDUpdate"/>
    <n v="9.3421052631578946E-2"/>
    <m/>
  </r>
  <r>
    <s v="P059"/>
    <x v="0"/>
    <s v="2024-06-22"/>
    <x v="5"/>
    <s v="Check out our latest text on instagram!"/>
    <n v="2180"/>
    <n v="263"/>
    <n v="387"/>
    <n v="30520"/>
    <n v="30059"/>
    <n v="174"/>
    <s v="#EVRevolution"/>
    <m/>
    <m/>
    <m/>
    <n v="9.2726081258191345E-2"/>
    <m/>
  </r>
  <r>
    <s v="P100"/>
    <x v="2"/>
    <s v="2025-02-10"/>
    <x v="2"/>
    <s v="Check out our latest video on youtube!"/>
    <n v="1766"/>
    <n v="92"/>
    <n v="424"/>
    <n v="24724"/>
    <n v="24333"/>
    <n v="52"/>
    <s v="#EVRevolution"/>
    <m/>
    <m/>
    <m/>
    <n v="9.2298980747451867E-2"/>
    <m/>
  </r>
  <r>
    <s v="P055"/>
    <x v="3"/>
    <s v="2024-06-17"/>
    <x v="4"/>
    <s v="Check out our latest image on facebook!"/>
    <n v="1226"/>
    <n v="119"/>
    <n v="7"/>
    <n v="14712"/>
    <n v="14049"/>
    <n v="123"/>
    <s v="#EVRevolution"/>
    <m/>
    <m/>
    <s v="SustainabilityDrive"/>
    <n v="9.1897770527460579E-2"/>
    <m/>
  </r>
  <r>
    <s v="P177"/>
    <x v="0"/>
    <s v="2024-07-10"/>
    <x v="3"/>
    <s v="Check out our latest carousel on instagram!"/>
    <n v="3099"/>
    <n v="694"/>
    <n v="171"/>
    <n v="43386"/>
    <n v="42921"/>
    <n v="52"/>
    <s v="#TeslaCoInnovation"/>
    <m/>
    <m/>
    <s v="FSDUpdate"/>
    <n v="9.1365878393951966E-2"/>
    <m/>
  </r>
  <r>
    <s v="P160"/>
    <x v="1"/>
    <s v="2024-08-24"/>
    <x v="2"/>
    <s v="Check out our latest video on twitter!"/>
    <n v="1082"/>
    <n v="209"/>
    <n v="484"/>
    <n v="19476"/>
    <n v="18654"/>
    <n v="20"/>
    <s v="#TeslaCoInnovation"/>
    <m/>
    <m/>
    <m/>
    <n v="9.1137810638734856E-2"/>
    <m/>
  </r>
  <r>
    <s v="P001"/>
    <x v="1"/>
    <s v="2024-12-23"/>
    <x v="1"/>
    <s v="Check out our latest reel on twitter!"/>
    <n v="1461"/>
    <n v="184"/>
    <n v="344"/>
    <n v="21915"/>
    <n v="21675"/>
    <n v="15"/>
    <s v="#FutureOfDriving"/>
    <s v="#AnytimeIsTeslaTime"/>
    <m/>
    <s v="CybertruckLaunch"/>
    <n v="9.0759753593429152E-2"/>
    <m/>
  </r>
  <r>
    <s v="P201"/>
    <x v="1"/>
    <s v="2025-01-15"/>
    <x v="1"/>
    <s v="Check out our latest reel on twitter!"/>
    <n v="802"/>
    <n v="262"/>
    <n v="244"/>
    <n v="14436"/>
    <n v="14280"/>
    <n v="49"/>
    <s v="#EVRevolution"/>
    <m/>
    <m/>
    <s v="CybertruckLaunch"/>
    <n v="9.0606816292601824E-2"/>
    <m/>
  </r>
  <r>
    <s v="P180"/>
    <x v="2"/>
    <s v="2024-12-03"/>
    <x v="5"/>
    <s v="Check out our latest text on youtube!"/>
    <n v="3711"/>
    <n v="352"/>
    <n v="290"/>
    <n v="48243"/>
    <n v="47579"/>
    <n v="11"/>
    <s v="#TeslaCoInnovation"/>
    <m/>
    <m/>
    <s v="CybertruckLaunch"/>
    <n v="9.023070704558174E-2"/>
    <m/>
  </r>
  <r>
    <s v="P026"/>
    <x v="2"/>
    <s v="2025-04-05"/>
    <x v="1"/>
    <s v="Check out our latest reel on youtube!"/>
    <n v="3009"/>
    <n v="413"/>
    <n v="358"/>
    <n v="42126"/>
    <n v="41309"/>
    <n v="211"/>
    <s v="#FutureOfDriving"/>
    <m/>
    <m/>
    <s v="ModelYCampaign"/>
    <n v="8.9730807577268201E-2"/>
    <m/>
  </r>
  <r>
    <s v="P130"/>
    <x v="2"/>
    <s v="2024-09-29"/>
    <x v="1"/>
    <s v="Check out our latest reel on youtube!"/>
    <n v="2936"/>
    <n v="439"/>
    <n v="44"/>
    <n v="38168"/>
    <n v="37571"/>
    <n v="22"/>
    <s v="#EVRevolution"/>
    <m/>
    <m/>
    <s v="SustainabilityDrive"/>
    <n v="8.9577656675749323E-2"/>
    <m/>
  </r>
  <r>
    <s v="P079"/>
    <x v="0"/>
    <s v="2024-10-09"/>
    <x v="3"/>
    <s v="Check out our latest carousel on instagram!"/>
    <n v="3068"/>
    <n v="137"/>
    <n v="329"/>
    <n v="39884"/>
    <n v="39404"/>
    <n v="266"/>
    <s v="#EVRevolution"/>
    <m/>
    <m/>
    <s v="ModelYCampaign"/>
    <n v="8.860696018453515E-2"/>
    <m/>
  </r>
  <r>
    <s v="P072"/>
    <x v="2"/>
    <s v="2025-03-03"/>
    <x v="1"/>
    <s v="Check out our latest reel on youtube!"/>
    <n v="296"/>
    <n v="60"/>
    <n v="141"/>
    <n v="5624"/>
    <n v="5239"/>
    <n v="88"/>
    <s v="#EVRevolution"/>
    <m/>
    <m/>
    <s v="ModelYCampaign"/>
    <n v="8.837126600284495E-2"/>
    <m/>
  </r>
  <r>
    <s v="P009"/>
    <x v="3"/>
    <s v="2024-08-30"/>
    <x v="5"/>
    <s v="Check out our latest text on facebook!"/>
    <n v="3784"/>
    <n v="808"/>
    <n v="404"/>
    <n v="56760"/>
    <n v="56343"/>
    <n v="131"/>
    <s v="#TeslaCoInnovation"/>
    <m/>
    <m/>
    <s v="ModelYCampaign"/>
    <n v="8.8019732205778717E-2"/>
    <m/>
  </r>
  <r>
    <s v="P260"/>
    <x v="0"/>
    <s v="2025-02-12"/>
    <x v="0"/>
    <s v="Check out our latest story on instagram!"/>
    <n v="4332"/>
    <n v="771"/>
    <n v="219"/>
    <n v="60648"/>
    <n v="60397"/>
    <n v="10"/>
    <s v="#TeslaCoInnovation"/>
    <s v="#EVRevolution"/>
    <s v="#BetterWithTesla"/>
    <s v="FSDUpdate"/>
    <n v="8.7752275425405618E-2"/>
    <m/>
  </r>
  <r>
    <s v="P249"/>
    <x v="1"/>
    <s v="2024-07-18"/>
    <x v="4"/>
    <s v="Check out our latest image on twitter!"/>
    <n v="827"/>
    <n v="77"/>
    <n v="402"/>
    <n v="14886"/>
    <n v="14129"/>
    <n v="254"/>
    <s v="#EVRevolution"/>
    <m/>
    <m/>
    <s v="ModelYCampaign"/>
    <n v="8.7733440816874911E-2"/>
    <m/>
  </r>
  <r>
    <s v="P097"/>
    <x v="0"/>
    <s v="2024-08-13"/>
    <x v="4"/>
    <s v="Check out our latest image on instagram!"/>
    <n v="4739"/>
    <n v="527"/>
    <n v="135"/>
    <n v="61607"/>
    <n v="61333"/>
    <n v="36"/>
    <s v="#TeslaCoInnovation"/>
    <s v="#AnytimeIsTeslaTime"/>
    <m/>
    <s v="ModelYCampaign"/>
    <n v="8.7668609086629767E-2"/>
    <m/>
  </r>
  <r>
    <s v="P253"/>
    <x v="1"/>
    <s v="2024-08-03"/>
    <x v="1"/>
    <s v="Check out our latest reel on twitter!"/>
    <n v="3791"/>
    <n v="593"/>
    <n v="228"/>
    <n v="53074"/>
    <n v="52613"/>
    <n v="205"/>
    <s v="#EVRevolution"/>
    <m/>
    <m/>
    <m/>
    <n v="8.6897539284772202E-2"/>
    <m/>
  </r>
  <r>
    <s v="P084"/>
    <x v="3"/>
    <s v="2024-12-09"/>
    <x v="4"/>
    <s v="Check out our latest image on facebook!"/>
    <n v="1841"/>
    <n v="851"/>
    <n v="342"/>
    <n v="34979"/>
    <n v="34154"/>
    <n v="255"/>
    <s v="#FutureOfDriving"/>
    <m/>
    <m/>
    <s v="SustainabilityDrive"/>
    <n v="8.6737756939878216E-2"/>
    <m/>
  </r>
  <r>
    <s v="P162"/>
    <x v="3"/>
    <s v="2025-04-01"/>
    <x v="0"/>
    <s v="Check out our latest story on facebook!"/>
    <n v="3430"/>
    <n v="566"/>
    <n v="164"/>
    <n v="48020"/>
    <n v="47305"/>
    <n v="120"/>
    <s v="#FutureOfDriving"/>
    <m/>
    <m/>
    <m/>
    <n v="8.6630570595585168E-2"/>
    <m/>
  </r>
  <r>
    <s v="P208"/>
    <x v="2"/>
    <s v="2024-06-24"/>
    <x v="2"/>
    <s v="Check out our latest video on youtube!"/>
    <n v="2949"/>
    <n v="476"/>
    <n v="403"/>
    <n v="44235"/>
    <n v="43705"/>
    <n v="135"/>
    <s v="#TeslaCoInnovation"/>
    <m/>
    <m/>
    <s v="ModelYCampaign"/>
    <n v="8.6537809426924378E-2"/>
    <m/>
  </r>
  <r>
    <s v="P240"/>
    <x v="1"/>
    <s v="2024-08-26"/>
    <x v="3"/>
    <s v="Check out our latest carousel on twitter!"/>
    <n v="929"/>
    <n v="192"/>
    <n v="322"/>
    <n v="16722"/>
    <n v="15996"/>
    <n v="145"/>
    <s v="#EVRevolution"/>
    <s v="#TeslaCoInnovation"/>
    <s v="#AnytimeIsTeslaTime"/>
    <s v="FSDUpdate"/>
    <n v="8.6293505561535699E-2"/>
    <m/>
  </r>
  <r>
    <s v="P231"/>
    <x v="0"/>
    <s v="2025-05-01"/>
    <x v="5"/>
    <s v="Check out our latest text on instagram!"/>
    <n v="1430"/>
    <n v="376"/>
    <n v="33"/>
    <n v="21450"/>
    <n v="20509"/>
    <n v="251"/>
    <s v="#FutureOfDriving"/>
    <m/>
    <m/>
    <s v="CybertruckLaunch"/>
    <n v="8.5734265734265735E-2"/>
    <m/>
  </r>
  <r>
    <s v="P106"/>
    <x v="0"/>
    <s v="2025-02-04"/>
    <x v="4"/>
    <s v="Check out our latest image on instagram!"/>
    <n v="4619"/>
    <n v="821"/>
    <n v="499"/>
    <n v="69285"/>
    <n v="69141"/>
    <n v="298"/>
    <s v="#TeslaCoInnovation"/>
    <m/>
    <m/>
    <s v="SustainabilityDrive"/>
    <n v="8.5718409468138843E-2"/>
    <m/>
  </r>
  <r>
    <s v="P082"/>
    <x v="0"/>
    <s v="2024-07-24"/>
    <x v="4"/>
    <s v="Check out our latest image on instagram!"/>
    <n v="725"/>
    <n v="88"/>
    <n v="428"/>
    <n v="14500"/>
    <n v="13637"/>
    <n v="200"/>
    <s v="#FutureOfDriving"/>
    <s v="#TeslaCoInnovation"/>
    <s v="#AnytimeIsTeslaTime"/>
    <s v="FSDUpdate"/>
    <n v="8.558620689655172E-2"/>
    <m/>
  </r>
  <r>
    <s v="P199"/>
    <x v="2"/>
    <s v="2024-11-30"/>
    <x v="3"/>
    <s v="Check out our latest carousel on youtube!"/>
    <n v="2509"/>
    <n v="324"/>
    <n v="171"/>
    <n v="35126"/>
    <n v="34685"/>
    <n v="277"/>
    <s v="#TeslaCoInnovation"/>
    <m/>
    <m/>
    <s v="ModelYCampaign"/>
    <n v="8.5520696919660646E-2"/>
    <m/>
  </r>
  <r>
    <s v="P188"/>
    <x v="2"/>
    <s v="2024-06-06"/>
    <x v="1"/>
    <s v="Check out our latest reel on youtube!"/>
    <n v="2728"/>
    <n v="533"/>
    <n v="215"/>
    <n v="40920"/>
    <n v="40816"/>
    <n v="137"/>
    <s v="#FutureOfDriving"/>
    <m/>
    <m/>
    <s v="ModelYCampaign"/>
    <n v="8.4946236559139784E-2"/>
    <m/>
  </r>
  <r>
    <s v="P186"/>
    <x v="3"/>
    <s v="2024-08-24"/>
    <x v="3"/>
    <s v="Check out our latest carousel on facebook!"/>
    <n v="4292"/>
    <n v="51"/>
    <n v="392"/>
    <n v="55796"/>
    <n v="54826"/>
    <n v="264"/>
    <s v="#EVRevolution"/>
    <m/>
    <m/>
    <s v="FSDUpdate"/>
    <n v="8.4862714173059003E-2"/>
    <m/>
  </r>
  <r>
    <s v="P194"/>
    <x v="2"/>
    <s v="2024-10-02"/>
    <x v="0"/>
    <s v="Check out our latest story on youtube!"/>
    <n v="4350"/>
    <n v="771"/>
    <n v="7"/>
    <n v="60900"/>
    <n v="60592"/>
    <n v="195"/>
    <s v="#EVRevolution"/>
    <m/>
    <m/>
    <s v="CybertruckLaunch"/>
    <n v="8.4203612479474554E-2"/>
    <m/>
  </r>
  <r>
    <s v="P268"/>
    <x v="0"/>
    <s v="2025-04-13"/>
    <x v="1"/>
    <s v="Check out our latest reel on instagram!"/>
    <n v="4579"/>
    <n v="125"/>
    <n v="300"/>
    <n v="59527"/>
    <n v="59400"/>
    <n v="269"/>
    <s v="#EVRevolution"/>
    <m/>
    <m/>
    <s v="CybertruckLaunch"/>
    <n v="8.4062694239588759E-2"/>
    <m/>
  </r>
  <r>
    <s v="P290"/>
    <x v="0"/>
    <s v="2024-12-20"/>
    <x v="3"/>
    <s v="Check out our latest carousel on instagram!"/>
    <n v="2107"/>
    <n v="550"/>
    <n v="349"/>
    <n v="35819"/>
    <n v="35340"/>
    <n v="191"/>
    <s v="#EVRevolution"/>
    <m/>
    <m/>
    <s v="SustainabilityDrive"/>
    <n v="8.3921940869371006E-2"/>
    <m/>
  </r>
  <r>
    <s v="P187"/>
    <x v="1"/>
    <s v="2024-12-22"/>
    <x v="1"/>
    <s v="Check out our latest reel on twitter!"/>
    <n v="1644"/>
    <n v="546"/>
    <n v="150"/>
    <n v="27948"/>
    <n v="27184"/>
    <n v="300"/>
    <s v="#EVRevolution"/>
    <m/>
    <m/>
    <s v="FSDUpdate"/>
    <n v="8.3726921425504502E-2"/>
    <m/>
  </r>
  <r>
    <s v="P300"/>
    <x v="1"/>
    <s v="2024-08-31"/>
    <x v="3"/>
    <s v="Check out our latest carousel on twitter!"/>
    <n v="4494"/>
    <n v="717"/>
    <n v="45"/>
    <n v="62916"/>
    <n v="62688"/>
    <n v="191"/>
    <s v="#TeslaCoInnovation"/>
    <s v="#EVRevolution"/>
    <s v="#BetterWithTesla"/>
    <s v="CybertruckLaunch"/>
    <n v="8.3539958039290485E-2"/>
    <m/>
  </r>
  <r>
    <s v="P280"/>
    <x v="2"/>
    <s v="2024-10-21"/>
    <x v="2"/>
    <s v="Check out our latest video on youtube!"/>
    <n v="4275"/>
    <n v="680"/>
    <n v="385"/>
    <n v="64125"/>
    <n v="63650"/>
    <n v="104"/>
    <s v="#EVRevolution"/>
    <s v="#TeslaCoInnovation"/>
    <s v="#AnytimeIsTeslaTime"/>
    <s v="SustainabilityDrive"/>
    <n v="8.3274853801169585E-2"/>
    <m/>
  </r>
  <r>
    <s v="P261"/>
    <x v="0"/>
    <s v="2024-10-27"/>
    <x v="4"/>
    <s v="Check out our latest image on instagram!"/>
    <n v="4853"/>
    <n v="837"/>
    <n v="340"/>
    <n v="72795"/>
    <n v="72237"/>
    <n v="170"/>
    <s v="#EVRevolution"/>
    <m/>
    <m/>
    <s v="CybertruckLaunch"/>
    <n v="8.2835359571399134E-2"/>
    <m/>
  </r>
  <r>
    <s v="P209"/>
    <x v="1"/>
    <s v="2025-03-19"/>
    <x v="2"/>
    <s v="Check out our latest video on twitter!"/>
    <n v="3160"/>
    <n v="204"/>
    <n v="297"/>
    <n v="44240"/>
    <n v="43666"/>
    <n v="49"/>
    <s v="#FutureOfDriving"/>
    <s v="#AnytimeIsTeslaTime"/>
    <m/>
    <s v="SustainabilityDrive"/>
    <n v="8.2753164556962022E-2"/>
    <m/>
  </r>
  <r>
    <s v="P213"/>
    <x v="3"/>
    <s v="2025-05-01"/>
    <x v="3"/>
    <s v="Check out our latest carousel on facebook!"/>
    <n v="2696"/>
    <n v="628"/>
    <n v="443"/>
    <n v="45832"/>
    <n v="45632"/>
    <n v="248"/>
    <s v="#EVRevolution"/>
    <m/>
    <m/>
    <s v="SustainabilityDrive"/>
    <n v="8.21914819340199E-2"/>
    <m/>
  </r>
  <r>
    <s v="P202"/>
    <x v="3"/>
    <s v="2024-06-02"/>
    <x v="4"/>
    <s v="Check out our latest image on facebook!"/>
    <n v="1871"/>
    <n v="252"/>
    <n v="335"/>
    <n v="29936"/>
    <n v="29576"/>
    <n v="288"/>
    <s v="#EVRevolution"/>
    <m/>
    <m/>
    <s v="FSDUpdate"/>
    <n v="8.2108498129342594E-2"/>
    <m/>
  </r>
  <r>
    <s v="P078"/>
    <x v="1"/>
    <s v="2024-06-17"/>
    <x v="4"/>
    <s v="Check out our latest image on twitter!"/>
    <n v="954"/>
    <n v="324"/>
    <n v="288"/>
    <n v="19080"/>
    <n v="18859"/>
    <n v="21"/>
    <s v="#FutureOfDriving"/>
    <m/>
    <m/>
    <s v="SustainabilityDrive"/>
    <n v="8.2075471698113203E-2"/>
    <m/>
  </r>
  <r>
    <s v="P064"/>
    <x v="3"/>
    <s v="2024-08-17"/>
    <x v="4"/>
    <s v="Check out our latest image on facebook!"/>
    <n v="2878"/>
    <n v="248"/>
    <n v="416"/>
    <n v="43170"/>
    <n v="42667"/>
    <n v="75"/>
    <s v="#FutureOfDriving"/>
    <m/>
    <m/>
    <s v="FSDUpdate"/>
    <n v="8.2047718322909427E-2"/>
    <m/>
  </r>
  <r>
    <s v="P228"/>
    <x v="0"/>
    <s v="2024-07-01"/>
    <x v="0"/>
    <s v="Check out our latest story on instagram!"/>
    <n v="4808"/>
    <n v="772"/>
    <n v="320"/>
    <n v="72120"/>
    <n v="71696"/>
    <n v="195"/>
    <s v="#EVRevolution"/>
    <m/>
    <m/>
    <s v="CybertruckLaunch"/>
    <n v="8.1808097615085965E-2"/>
    <m/>
  </r>
  <r>
    <s v="P076"/>
    <x v="1"/>
    <s v="2024-11-07"/>
    <x v="0"/>
    <s v="Check out our latest story on twitter!"/>
    <n v="1121"/>
    <n v="135"/>
    <n v="18"/>
    <n v="15694"/>
    <n v="14957"/>
    <n v="99"/>
    <s v="#TeslaCoInnovation"/>
    <m/>
    <m/>
    <s v="SustainabilityDrive"/>
    <n v="8.1177520071364848E-2"/>
    <m/>
  </r>
  <r>
    <s v="P057"/>
    <x v="1"/>
    <s v="2024-10-21"/>
    <x v="2"/>
    <s v="Check out our latest video on twitter!"/>
    <n v="2825"/>
    <n v="535"/>
    <n v="295"/>
    <n v="45200"/>
    <n v="44739"/>
    <n v="169"/>
    <s v="#TeslaCoInnovation"/>
    <m/>
    <m/>
    <s v="CybertruckLaunch"/>
    <n v="8.0862831858407078E-2"/>
    <m/>
  </r>
  <r>
    <s v="P122"/>
    <x v="0"/>
    <s v="2024-10-02"/>
    <x v="5"/>
    <s v="Check out our latest text on instagram!"/>
    <n v="3432"/>
    <n v="869"/>
    <n v="123"/>
    <n v="54912"/>
    <n v="53916"/>
    <n v="264"/>
    <s v="#EVRevolution"/>
    <m/>
    <m/>
    <s v="ModelYCampaign"/>
    <n v="8.0565268065268064E-2"/>
    <m/>
  </r>
  <r>
    <s v="P022"/>
    <x v="3"/>
    <s v="2025-02-27"/>
    <x v="5"/>
    <s v="Check out our latest text on facebook!"/>
    <n v="1570"/>
    <n v="187"/>
    <n v="260"/>
    <n v="25120"/>
    <n v="24613"/>
    <n v="133"/>
    <s v="#TeslaCoInnovation"/>
    <m/>
    <m/>
    <s v="SustainabilityDrive"/>
    <n v="8.0294585987261149E-2"/>
    <m/>
  </r>
  <r>
    <s v="P118"/>
    <x v="3"/>
    <s v="2024-11-04"/>
    <x v="4"/>
    <s v="Check out our latest image on facebook!"/>
    <n v="4551"/>
    <n v="714"/>
    <n v="207"/>
    <n v="68265"/>
    <n v="67754"/>
    <n v="57"/>
    <s v="#FutureOfDriving"/>
    <m/>
    <m/>
    <s v="FSDUpdate"/>
    <n v="8.0158206987475278E-2"/>
    <m/>
  </r>
  <r>
    <s v="P257"/>
    <x v="3"/>
    <s v="2025-04-06"/>
    <x v="4"/>
    <s v="Check out our latest image on facebook!"/>
    <n v="3090"/>
    <n v="697"/>
    <n v="164"/>
    <n v="49440"/>
    <n v="48524"/>
    <n v="25"/>
    <s v="#EVRevolution"/>
    <s v="#EVRevolution"/>
    <s v="#BetterWithTesla"/>
    <s v="ModelYCampaign"/>
    <n v="7.9915048543689318E-2"/>
    <m/>
  </r>
  <r>
    <s v="P091"/>
    <x v="3"/>
    <s v="2025-03-24"/>
    <x v="4"/>
    <s v="Check out our latest image on facebook!"/>
    <n v="1263"/>
    <n v="397"/>
    <n v="357"/>
    <n v="25260"/>
    <n v="24615"/>
    <n v="137"/>
    <s v="#EVRevolution"/>
    <m/>
    <m/>
    <s v="SustainabilityDrive"/>
    <n v="7.984956452889945E-2"/>
    <m/>
  </r>
  <r>
    <s v="P274"/>
    <x v="1"/>
    <s v="2025-01-01"/>
    <x v="3"/>
    <s v="Check out our latest carousel on twitter!"/>
    <n v="3535"/>
    <n v="494"/>
    <n v="152"/>
    <n v="53025"/>
    <n v="52791"/>
    <n v="44"/>
    <s v="#TeslaCoInnovation"/>
    <m/>
    <m/>
    <s v="SustainabilityDrive"/>
    <n v="7.8849599245638849E-2"/>
    <m/>
  </r>
  <r>
    <s v="P051"/>
    <x v="3"/>
    <s v="2024-06-13"/>
    <x v="3"/>
    <s v="Check out our latest carousel on facebook!"/>
    <n v="2200"/>
    <n v="504"/>
    <n v="239"/>
    <n v="37400"/>
    <n v="36938"/>
    <n v="225"/>
    <s v="#FutureOfDriving"/>
    <m/>
    <m/>
    <s v="ModelYCampaign"/>
    <n v="7.8689839572192513E-2"/>
    <m/>
  </r>
  <r>
    <s v="P080"/>
    <x v="0"/>
    <s v="2024-06-13"/>
    <x v="0"/>
    <s v="Check out our latest story on instagram!"/>
    <n v="2103"/>
    <n v="892"/>
    <n v="103"/>
    <n v="39957"/>
    <n v="39466"/>
    <n v="28"/>
    <s v="#FutureOfDriving"/>
    <m/>
    <m/>
    <m/>
    <n v="7.7533348349475686E-2"/>
    <m/>
  </r>
  <r>
    <s v="P230"/>
    <x v="3"/>
    <s v="2024-07-15"/>
    <x v="1"/>
    <s v="Check out our latest reel on facebook!"/>
    <n v="3663"/>
    <n v="17"/>
    <n v="295"/>
    <n v="51282"/>
    <n v="50567"/>
    <n v="84"/>
    <s v="#EVRevolution"/>
    <m/>
    <m/>
    <s v="FSDUpdate"/>
    <n v="7.7512577512577507E-2"/>
    <m/>
  </r>
  <r>
    <s v="P149"/>
    <x v="1"/>
    <s v="2024-06-16"/>
    <x v="2"/>
    <s v="Check out our latest video on twitter!"/>
    <n v="1702"/>
    <n v="750"/>
    <n v="179"/>
    <n v="34040"/>
    <n v="33174"/>
    <n v="76"/>
    <s v="#EVRevolution"/>
    <m/>
    <m/>
    <s v="CybertruckLaunch"/>
    <n v="7.7291421856639245E-2"/>
    <m/>
  </r>
  <r>
    <s v="P021"/>
    <x v="0"/>
    <s v="2025-01-04"/>
    <x v="1"/>
    <s v="Check out our latest reel on instagram!"/>
    <n v="4838"/>
    <n v="640"/>
    <n v="128"/>
    <n v="72570"/>
    <n v="72396"/>
    <n v="83"/>
    <s v="#FutureOfDriving"/>
    <m/>
    <m/>
    <s v="SustainabilityDrive"/>
    <n v="7.7249552156538517E-2"/>
    <m/>
  </r>
  <r>
    <s v="P023"/>
    <x v="3"/>
    <s v="2024-11-06"/>
    <x v="2"/>
    <s v="Check out our latest video on facebook!"/>
    <n v="1606"/>
    <n v="547"/>
    <n v="316"/>
    <n v="32120"/>
    <n v="31736"/>
    <n v="225"/>
    <s v="#TeslaCoInnovation"/>
    <s v="#AnytimeIsTeslaTime"/>
    <m/>
    <s v="ModelYCampaign"/>
    <n v="7.6867995018679955E-2"/>
    <m/>
  </r>
  <r>
    <s v="P036"/>
    <x v="0"/>
    <s v="2025-04-19"/>
    <x v="0"/>
    <s v="Check out our latest story on instagram!"/>
    <n v="4518"/>
    <n v="285"/>
    <n v="383"/>
    <n v="67770"/>
    <n v="67621"/>
    <n v="31"/>
    <s v="#EVRevolution"/>
    <m/>
    <m/>
    <s v="ModelYCampaign"/>
    <n v="7.6523535487678915E-2"/>
    <m/>
  </r>
  <r>
    <s v="P002"/>
    <x v="1"/>
    <s v="2025-04-03"/>
    <x v="5"/>
    <s v="Check out our latest text on twitter!"/>
    <n v="4054"/>
    <n v="389"/>
    <n v="493"/>
    <n v="64864"/>
    <n v="64383"/>
    <n v="117"/>
    <s v="#TeslaCoInnovation"/>
    <s v="#BetterWithTesla"/>
    <m/>
    <s v="ModelYCampaign"/>
    <n v="7.6097681302417369E-2"/>
    <m/>
  </r>
  <r>
    <s v="P234"/>
    <x v="3"/>
    <s v="2024-06-01"/>
    <x v="5"/>
    <s v="Check out our latest text on facebook!"/>
    <n v="1272"/>
    <n v="465"/>
    <n v="99"/>
    <n v="24168"/>
    <n v="23719"/>
    <n v="42"/>
    <s v="#TeslaCoInnovation"/>
    <m/>
    <m/>
    <m/>
    <n v="7.5968222442899705E-2"/>
    <m/>
  </r>
  <r>
    <s v="P013"/>
    <x v="2"/>
    <s v="2024-11-18"/>
    <x v="3"/>
    <s v="Check out our latest carousel on youtube!"/>
    <n v="1171"/>
    <n v="286"/>
    <n v="231"/>
    <n v="22249"/>
    <n v="21282"/>
    <n v="114"/>
    <s v="#EVRevolution"/>
    <m/>
    <m/>
    <s v="CybertruckLaunch"/>
    <n v="7.5868578363072495E-2"/>
    <m/>
  </r>
  <r>
    <s v="P016"/>
    <x v="3"/>
    <s v="2024-08-26"/>
    <x v="5"/>
    <s v="Check out our latest text on facebook!"/>
    <n v="3452"/>
    <n v="377"/>
    <n v="360"/>
    <n v="55232"/>
    <n v="55075"/>
    <n v="87"/>
    <s v="#FutureOfDriving"/>
    <m/>
    <m/>
    <s v="FSDUpdate"/>
    <n v="7.5843713789107758E-2"/>
    <m/>
  </r>
  <r>
    <s v="P179"/>
    <x v="3"/>
    <s v="2024-07-15"/>
    <x v="3"/>
    <s v="Check out our latest carousel on facebook!"/>
    <n v="3796"/>
    <n v="667"/>
    <n v="395"/>
    <n v="64532"/>
    <n v="63550"/>
    <n v="292"/>
    <s v="#TeslaCoInnovation"/>
    <m/>
    <m/>
    <m/>
    <n v="7.5280481001673588E-2"/>
    <m/>
  </r>
  <r>
    <s v="P045"/>
    <x v="3"/>
    <s v="2024-11-01"/>
    <x v="2"/>
    <s v="Check out our latest video on facebook!"/>
    <n v="3371"/>
    <n v="106"/>
    <n v="327"/>
    <n v="50565"/>
    <n v="49816"/>
    <n v="176"/>
    <s v="#FutureOfDriving"/>
    <m/>
    <m/>
    <s v="CybertruckLaunch"/>
    <n v="7.5229902106199939E-2"/>
    <m/>
  </r>
  <r>
    <s v="P168"/>
    <x v="3"/>
    <s v="2024-11-12"/>
    <x v="5"/>
    <s v="Check out our latest text on facebook!"/>
    <n v="2418"/>
    <n v="754"/>
    <n v="54"/>
    <n v="43524"/>
    <n v="42743"/>
    <n v="182"/>
    <s v="#EVRevolution"/>
    <m/>
    <m/>
    <s v="CybertruckLaunch"/>
    <n v="7.412002573292896E-2"/>
    <m/>
  </r>
  <r>
    <s v="P111"/>
    <x v="2"/>
    <s v="2024-11-23"/>
    <x v="4"/>
    <s v="Check out our latest image on youtube!"/>
    <n v="2719"/>
    <n v="17"/>
    <n v="285"/>
    <n v="40785"/>
    <n v="40281"/>
    <n v="40"/>
    <s v="#TeslaCoInnovation"/>
    <m/>
    <m/>
    <s v="ModelYCampaign"/>
    <n v="7.4071349760941527E-2"/>
    <m/>
  </r>
  <r>
    <s v="P101"/>
    <x v="2"/>
    <s v="2024-10-18"/>
    <x v="2"/>
    <s v="Check out our latest video on youtube!"/>
    <n v="4450"/>
    <n v="983"/>
    <n v="143"/>
    <n v="75650"/>
    <n v="75008"/>
    <n v="12"/>
    <s v="#FutureOfDriving"/>
    <m/>
    <m/>
    <s v="FSDUpdate"/>
    <n v="7.3707865168539333E-2"/>
    <m/>
  </r>
  <r>
    <s v="P048"/>
    <x v="1"/>
    <s v="2025-03-11"/>
    <x v="0"/>
    <s v="Check out our latest story on twitter!"/>
    <n v="1950"/>
    <n v="295"/>
    <n v="478"/>
    <n v="37050"/>
    <n v="36272"/>
    <n v="119"/>
    <s v="#TeslaCoInnovation"/>
    <m/>
    <m/>
    <m/>
    <n v="7.349527665317139E-2"/>
    <m/>
  </r>
  <r>
    <s v="P250"/>
    <x v="3"/>
    <s v="2024-06-22"/>
    <x v="1"/>
    <s v="Check out our latest reel on facebook!"/>
    <n v="3813"/>
    <n v="935"/>
    <n v="274"/>
    <n v="68634"/>
    <n v="68488"/>
    <n v="251"/>
    <s v="#FutureOfDriving"/>
    <m/>
    <m/>
    <m/>
    <n v="7.3170731707317069E-2"/>
    <m/>
  </r>
  <r>
    <s v="P289"/>
    <x v="3"/>
    <s v="2024-11-28"/>
    <x v="3"/>
    <s v="Check out our latest carousel on facebook!"/>
    <n v="2751"/>
    <n v="33"/>
    <n v="430"/>
    <n v="44016"/>
    <n v="43415"/>
    <n v="129"/>
    <s v="#FutureOfDriving"/>
    <m/>
    <m/>
    <m/>
    <n v="7.3018902217375503E-2"/>
    <m/>
  </r>
  <r>
    <s v="P233"/>
    <x v="3"/>
    <s v="2025-03-08"/>
    <x v="4"/>
    <s v="Check out our latest image on facebook!"/>
    <n v="2382"/>
    <n v="265"/>
    <n v="134"/>
    <n v="38112"/>
    <n v="37437"/>
    <n v="249"/>
    <s v="#FutureOfDriving"/>
    <m/>
    <m/>
    <s v="SustainabilityDrive"/>
    <n v="7.2969143576826198E-2"/>
    <m/>
  </r>
  <r>
    <s v="P172"/>
    <x v="3"/>
    <s v="2024-08-14"/>
    <x v="3"/>
    <s v="Check out our latest carousel on facebook!"/>
    <n v="3073"/>
    <n v="553"/>
    <n v="174"/>
    <n v="52241"/>
    <n v="51605"/>
    <n v="246"/>
    <s v="#EVRevolution"/>
    <m/>
    <m/>
    <s v="FSDUpdate"/>
    <n v="7.2739802071170159E-2"/>
    <m/>
  </r>
  <r>
    <s v="P238"/>
    <x v="1"/>
    <s v="2024-07-16"/>
    <x v="5"/>
    <s v="Check out our latest text on twitter!"/>
    <n v="4725"/>
    <n v="400"/>
    <n v="362"/>
    <n v="75600"/>
    <n v="74927"/>
    <n v="43"/>
    <s v="#FutureOfDriving"/>
    <m/>
    <m/>
    <s v="SustainabilityDrive"/>
    <n v="7.2579365079365077E-2"/>
    <m/>
  </r>
  <r>
    <s v="P189"/>
    <x v="3"/>
    <s v="2025-03-24"/>
    <x v="1"/>
    <s v="Check out our latest reel on facebook!"/>
    <n v="3360"/>
    <n v="525"/>
    <n v="500"/>
    <n v="60480"/>
    <n v="59610"/>
    <n v="192"/>
    <s v="#TeslaCoInnovation"/>
    <m/>
    <m/>
    <s v="CybertruckLaunch"/>
    <n v="7.2503306878306875E-2"/>
    <m/>
  </r>
  <r>
    <s v="P039"/>
    <x v="3"/>
    <s v="2024-11-25"/>
    <x v="4"/>
    <s v="Check out our latest image on facebook!"/>
    <n v="3564"/>
    <n v="629"/>
    <n v="177"/>
    <n v="60588"/>
    <n v="59627"/>
    <n v="92"/>
    <s v="#TeslaCoInnovation"/>
    <m/>
    <m/>
    <m/>
    <n v="7.2126493695121141E-2"/>
    <m/>
  </r>
  <r>
    <s v="P215"/>
    <x v="3"/>
    <s v="2025-05-06"/>
    <x v="4"/>
    <s v="Check out our latest image on facebook!"/>
    <n v="4872"/>
    <n v="925"/>
    <n v="176"/>
    <n v="82824"/>
    <n v="82543"/>
    <n v="89"/>
    <s v="#EVRevolution"/>
    <m/>
    <m/>
    <s v="ModelYCampaign"/>
    <n v="7.2116777745580993E-2"/>
    <m/>
  </r>
  <r>
    <s v="P024"/>
    <x v="3"/>
    <s v="2025-01-23"/>
    <x v="2"/>
    <s v="Check out our latest video on facebook!"/>
    <n v="3961"/>
    <n v="761"/>
    <n v="131"/>
    <n v="67337"/>
    <n v="66615"/>
    <n v="161"/>
    <s v="#FutureOfDriving"/>
    <m/>
    <m/>
    <s v="FSDUpdate"/>
    <n v="7.2070332803659209E-2"/>
    <m/>
  </r>
  <r>
    <s v="P099"/>
    <x v="2"/>
    <s v="2024-07-02"/>
    <x v="3"/>
    <s v="Check out our latest carousel on youtube!"/>
    <n v="4171"/>
    <n v="548"/>
    <n v="86"/>
    <n v="66736"/>
    <n v="66634"/>
    <n v="173"/>
    <s v="#FutureOfDriving"/>
    <m/>
    <m/>
    <s v="FSDUpdate"/>
    <n v="7.2000119875329657E-2"/>
    <m/>
  </r>
  <r>
    <s v="P010"/>
    <x v="3"/>
    <s v="2025-03-11"/>
    <x v="4"/>
    <s v="Check out our latest image on facebook!"/>
    <n v="4241"/>
    <n v="902"/>
    <n v="47"/>
    <n v="72097"/>
    <n v="71598"/>
    <n v="167"/>
    <s v="#TeslaCoInnovation"/>
    <m/>
    <m/>
    <s v="ModelYCampaign"/>
    <n v="7.198635172059864E-2"/>
    <m/>
  </r>
  <r>
    <s v="P291"/>
    <x v="3"/>
    <s v="2024-11-06"/>
    <x v="2"/>
    <s v="Check out our latest video on facebook!"/>
    <n v="4663"/>
    <n v="145"/>
    <n v="225"/>
    <n v="69945"/>
    <n v="69596"/>
    <n v="35"/>
    <s v="#EVRevolution"/>
    <m/>
    <m/>
    <s v="SustainabilityDrive"/>
    <n v="7.1956537279290869E-2"/>
    <m/>
  </r>
  <r>
    <s v="P133"/>
    <x v="3"/>
    <s v="2025-02-06"/>
    <x v="4"/>
    <s v="Check out our latest image on facebook!"/>
    <n v="2072"/>
    <n v="532"/>
    <n v="71"/>
    <n v="37296"/>
    <n v="36467"/>
    <n v="25"/>
    <s v="#TeslaCoInnovation"/>
    <m/>
    <m/>
    <s v="SustainabilityDrive"/>
    <n v="7.172350922350923E-2"/>
    <m/>
  </r>
  <r>
    <s v="P027"/>
    <x v="2"/>
    <s v="2024-09-17"/>
    <x v="5"/>
    <s v="Check out our latest text on youtube!"/>
    <n v="2076"/>
    <n v="195"/>
    <n v="104"/>
    <n v="33216"/>
    <n v="32244"/>
    <n v="51"/>
    <s v="#FutureOfDriving"/>
    <m/>
    <m/>
    <s v="SustainabilityDrive"/>
    <n v="7.1501685934489398E-2"/>
    <m/>
  </r>
  <r>
    <s v="P134"/>
    <x v="1"/>
    <s v="2025-04-24"/>
    <x v="1"/>
    <s v="Check out our latest reel on twitter!"/>
    <n v="3731"/>
    <n v="115"/>
    <n v="135"/>
    <n v="55965"/>
    <n v="55436"/>
    <n v="103"/>
    <s v="#TeslaCoInnovation"/>
    <m/>
    <m/>
    <s v="CybertruckLaunch"/>
    <n v="7.1133744304476013E-2"/>
    <m/>
  </r>
  <r>
    <s v="P090"/>
    <x v="0"/>
    <s v="2024-06-03"/>
    <x v="4"/>
    <s v="Check out our latest image on instagram!"/>
    <n v="3861"/>
    <n v="960"/>
    <n v="101"/>
    <n v="69498"/>
    <n v="68817"/>
    <n v="297"/>
    <s v="#TeslaCoInnovation"/>
    <m/>
    <m/>
    <s v="SustainabilityDrive"/>
    <n v="7.0822181933293038E-2"/>
    <m/>
  </r>
  <r>
    <s v="P034"/>
    <x v="3"/>
    <s v="2025-03-26"/>
    <x v="5"/>
    <s v="Check out our latest text on facebook!"/>
    <n v="1652"/>
    <n v="89"/>
    <n v="357"/>
    <n v="29736"/>
    <n v="28771"/>
    <n v="215"/>
    <s v="#TeslaCoInnovation"/>
    <m/>
    <m/>
    <s v="FSDUpdate"/>
    <n v="7.055421038471886E-2"/>
    <m/>
  </r>
  <r>
    <s v="P007"/>
    <x v="1"/>
    <s v="2024-06-24"/>
    <x v="3"/>
    <s v="Check out our latest carousel on twitter!"/>
    <n v="3860"/>
    <n v="201"/>
    <n v="279"/>
    <n v="61760"/>
    <n v="61660"/>
    <n v="235"/>
    <s v="#TeslaCoInnovation"/>
    <m/>
    <m/>
    <s v="ModelYCampaign"/>
    <n v="7.0272020725388601E-2"/>
    <m/>
  </r>
  <r>
    <s v="P142"/>
    <x v="2"/>
    <s v="2025-03-25"/>
    <x v="0"/>
    <s v="Check out our latest story on youtube!"/>
    <n v="2070"/>
    <n v="275"/>
    <n v="386"/>
    <n v="39330"/>
    <n v="38627"/>
    <n v="114"/>
    <s v="#FutureOfDriving"/>
    <m/>
    <m/>
    <s v="SustainabilityDrive"/>
    <n v="6.9438087973557078E-2"/>
    <m/>
  </r>
  <r>
    <s v="P127"/>
    <x v="3"/>
    <s v="2025-01-27"/>
    <x v="1"/>
    <s v="Check out our latest reel on facebook!"/>
    <n v="3452"/>
    <n v="652"/>
    <n v="442"/>
    <n v="65588"/>
    <n v="65049"/>
    <n v="158"/>
    <s v="#FutureOfDriving"/>
    <m/>
    <m/>
    <s v="FSDUpdate"/>
    <n v="6.9311459413307311E-2"/>
    <m/>
  </r>
  <r>
    <s v="P170"/>
    <x v="1"/>
    <s v="2025-04-28"/>
    <x v="5"/>
    <s v="Check out our latest text on twitter!"/>
    <n v="3577"/>
    <n v="596"/>
    <n v="493"/>
    <n v="67963"/>
    <n v="67839"/>
    <n v="53"/>
    <s v="#TeslaCoInnovation"/>
    <m/>
    <m/>
    <s v="FSDUpdate"/>
    <n v="6.8655003457763777E-2"/>
    <m/>
  </r>
  <r>
    <s v="P095"/>
    <x v="0"/>
    <s v="2024-11-08"/>
    <x v="5"/>
    <s v="Check out our latest text on instagram!"/>
    <n v="3182"/>
    <n v="559"/>
    <n v="160"/>
    <n v="57276"/>
    <n v="56890"/>
    <n v="163"/>
    <s v="#FutureOfDriving"/>
    <m/>
    <m/>
    <s v="SustainabilityDrive"/>
    <n v="6.8108806480899509E-2"/>
    <m/>
  </r>
  <r>
    <s v="P288"/>
    <x v="2"/>
    <s v="2025-04-17"/>
    <x v="3"/>
    <s v="Check out our latest carousel on youtube!"/>
    <n v="4780"/>
    <n v="691"/>
    <n v="380"/>
    <n v="86040"/>
    <n v="85743"/>
    <n v="262"/>
    <s v="#FutureOfDriving"/>
    <m/>
    <m/>
    <s v="FSDUpdate"/>
    <n v="6.800325430032543E-2"/>
    <m/>
  </r>
  <r>
    <s v="P237"/>
    <x v="0"/>
    <s v="2024-10-22"/>
    <x v="0"/>
    <s v="Check out our latest story on instagram!"/>
    <n v="3770"/>
    <n v="917"/>
    <n v="129"/>
    <n v="71630"/>
    <n v="71322"/>
    <n v="76"/>
    <s v="#FutureOfDriving"/>
    <m/>
    <m/>
    <s v="CybertruckLaunch"/>
    <n v="6.7234398994834563E-2"/>
    <m/>
  </r>
  <r>
    <s v="P270"/>
    <x v="2"/>
    <s v="2025-01-15"/>
    <x v="1"/>
    <s v="Check out our latest reel on youtube!"/>
    <n v="3774"/>
    <n v="239"/>
    <n v="39"/>
    <n v="60384"/>
    <n v="59490"/>
    <n v="241"/>
    <s v="#TeslaCoInnovation"/>
    <m/>
    <m/>
    <s v="FSDUpdate"/>
    <n v="6.7103868574456813E-2"/>
    <m/>
  </r>
  <r>
    <s v="P005"/>
    <x v="2"/>
    <s v="2024-06-26"/>
    <x v="1"/>
    <s v="Check out our latest reel on youtube!"/>
    <n v="3557"/>
    <n v="687"/>
    <n v="424"/>
    <n v="71140"/>
    <n v="70701"/>
    <n v="224"/>
    <s v="#EVRevolution"/>
    <s v="#TeslaCoInnovation"/>
    <m/>
    <s v="CybertruckLaunch"/>
    <n v="6.5617093055946027E-2"/>
    <m/>
  </r>
  <r>
    <s v="P086"/>
    <x v="2"/>
    <s v="2025-01-27"/>
    <x v="5"/>
    <s v="Check out our latest text on youtube!"/>
    <n v="3428"/>
    <n v="305"/>
    <n v="85"/>
    <n v="58276"/>
    <n v="58052"/>
    <n v="242"/>
    <s v="#EVRevolution"/>
    <s v="#BetterWithTesla"/>
    <m/>
    <s v="SustainabilityDrive"/>
    <n v="6.5515821264328367E-2"/>
    <m/>
  </r>
  <r>
    <s v="P144"/>
    <x v="2"/>
    <s v="2024-10-28"/>
    <x v="0"/>
    <s v="Check out our latest story on youtube!"/>
    <n v="4929"/>
    <n v="749"/>
    <n v="452"/>
    <n v="93651"/>
    <n v="92810"/>
    <n v="66"/>
    <s v="#EVRevolution"/>
    <m/>
    <m/>
    <s v="SustainabilityDrive"/>
    <n v="6.5455787978772245E-2"/>
    <m/>
  </r>
  <r>
    <s v="P197"/>
    <x v="1"/>
    <s v="2024-10-22"/>
    <x v="1"/>
    <s v="Check out our latest reel on twitter!"/>
    <n v="4782"/>
    <n v="721"/>
    <n v="82"/>
    <n v="86076"/>
    <n v="85339"/>
    <n v="19"/>
    <s v="#EVRevolution"/>
    <m/>
    <m/>
    <s v="CybertruckLaunch"/>
    <n v="6.4884520656164318E-2"/>
    <m/>
  </r>
  <r>
    <s v="P135"/>
    <x v="3"/>
    <s v="2024-11-28"/>
    <x v="5"/>
    <s v="Check out our latest text on facebook!"/>
    <n v="4213"/>
    <n v="253"/>
    <n v="434"/>
    <n v="75834"/>
    <n v="75437"/>
    <n v="272"/>
    <s v="#FutureOfDriving"/>
    <m/>
    <m/>
    <s v="SustainabilityDrive"/>
    <n v="6.461481657304112E-2"/>
    <m/>
  </r>
  <r>
    <s v="P073"/>
    <x v="3"/>
    <s v="2024-10-18"/>
    <x v="0"/>
    <s v="Check out our latest story on facebook!"/>
    <n v="4126"/>
    <n v="426"/>
    <n v="486"/>
    <n v="78394"/>
    <n v="77798"/>
    <n v="88"/>
    <s v="#FutureOfDriving"/>
    <m/>
    <m/>
    <s v="SustainabilityDrive"/>
    <n v="6.4265122330790625E-2"/>
    <m/>
  </r>
  <r>
    <s v="P267"/>
    <x v="1"/>
    <s v="2024-10-04"/>
    <x v="1"/>
    <s v="Check out our latest reel on twitter!"/>
    <n v="4187"/>
    <n v="66"/>
    <n v="31"/>
    <n v="66992"/>
    <n v="66614"/>
    <n v="62"/>
    <s v="#FutureOfDriving"/>
    <m/>
    <m/>
    <m/>
    <n v="6.3947934081681396E-2"/>
    <m/>
  </r>
  <r>
    <s v="P020"/>
    <x v="0"/>
    <s v="2024-09-09"/>
    <x v="3"/>
    <s v="Check out our latest carousel on instagram!"/>
    <n v="4054"/>
    <n v="488"/>
    <n v="373"/>
    <n v="77026"/>
    <n v="76881"/>
    <n v="25"/>
    <s v="#TeslaCoInnovation"/>
    <m/>
    <m/>
    <s v="CybertruckLaunch"/>
    <n v="6.3809622724794221E-2"/>
    <m/>
  </r>
  <r>
    <s v="P067"/>
    <x v="3"/>
    <s v="2025-03-29"/>
    <x v="3"/>
    <s v="Check out our latest carousel on facebook!"/>
    <n v="4712"/>
    <n v="568"/>
    <n v="127"/>
    <n v="84816"/>
    <n v="84691"/>
    <n v="100"/>
    <s v="#EVRevolution"/>
    <m/>
    <m/>
    <s v="FSDUpdate"/>
    <n v="6.3749764195434822E-2"/>
    <m/>
  </r>
  <r>
    <s v="P150"/>
    <x v="2"/>
    <s v="2024-08-22"/>
    <x v="3"/>
    <s v="Check out our latest carousel on youtube!"/>
    <n v="4295"/>
    <n v="853"/>
    <n v="325"/>
    <n v="85900"/>
    <n v="85788"/>
    <n v="290"/>
    <s v="#TeslaCoInnovation"/>
    <m/>
    <m/>
    <s v="SustainabilityDrive"/>
    <n v="6.3713620488940623E-2"/>
    <m/>
  </r>
  <r>
    <s v="P281"/>
    <x v="2"/>
    <s v="2025-03-22"/>
    <x v="4"/>
    <s v="Check out our latest image on youtube!"/>
    <n v="3166"/>
    <n v="90"/>
    <n v="341"/>
    <n v="56988"/>
    <n v="56125"/>
    <n v="135"/>
    <s v="#EVRevolution"/>
    <m/>
    <m/>
    <s v="ModelYCampaign"/>
    <n v="6.3118551273952411E-2"/>
    <m/>
  </r>
  <r>
    <s v="P217"/>
    <x v="3"/>
    <s v="2024-12-03"/>
    <x v="4"/>
    <s v="Check out our latest image on facebook!"/>
    <n v="4606"/>
    <n v="931"/>
    <n v="230"/>
    <n v="92120"/>
    <n v="91440"/>
    <n v="56"/>
    <s v="#TeslaCoInnovation"/>
    <m/>
    <m/>
    <m/>
    <n v="6.2603126356925748E-2"/>
    <m/>
  </r>
  <r>
    <s v="P200"/>
    <x v="3"/>
    <s v="2025-04-07"/>
    <x v="1"/>
    <s v="Check out our latest reel on facebook!"/>
    <n v="3718"/>
    <n v="385"/>
    <n v="310"/>
    <n v="70642"/>
    <n v="69749"/>
    <n v="233"/>
    <s v="#TeslaCoInnovation"/>
    <m/>
    <m/>
    <s v="ModelYCampaign"/>
    <n v="6.246991874522239E-2"/>
    <m/>
  </r>
  <r>
    <s v="P107"/>
    <x v="2"/>
    <s v="2024-06-21"/>
    <x v="4"/>
    <s v="Check out our latest image on youtube!"/>
    <n v="4832"/>
    <n v="893"/>
    <n v="10"/>
    <n v="91808"/>
    <n v="91296"/>
    <n v="182"/>
    <s v="#TeslaCoInnovation"/>
    <m/>
    <m/>
    <m/>
    <n v="6.2467323109097243E-2"/>
    <m/>
  </r>
  <r>
    <s v="P115"/>
    <x v="1"/>
    <s v="2025-05-11"/>
    <x v="4"/>
    <s v="Check out our latest image on twitter!"/>
    <n v="2493"/>
    <n v="97"/>
    <n v="44"/>
    <n v="42381"/>
    <n v="41991"/>
    <n v="242"/>
    <s v="#TeslaCoInnovation"/>
    <s v="#AnytimeIsTeslaTime"/>
    <m/>
    <s v="SustainabilityDrive"/>
    <n v="6.2150491965739366E-2"/>
    <m/>
  </r>
  <r>
    <s v="P223"/>
    <x v="1"/>
    <s v="2024-11-12"/>
    <x v="4"/>
    <s v="Check out our latest image on twitter!"/>
    <n v="3338"/>
    <n v="277"/>
    <n v="118"/>
    <n v="60084"/>
    <n v="59842"/>
    <n v="252"/>
    <s v="#TeslaCoInnovation"/>
    <m/>
    <m/>
    <m/>
    <n v="6.2129685107516146E-2"/>
    <m/>
  </r>
  <r>
    <s v="P279"/>
    <x v="2"/>
    <s v="2024-09-02"/>
    <x v="4"/>
    <s v="Check out our latest image on youtube!"/>
    <n v="4905"/>
    <n v="845"/>
    <n v="129"/>
    <n v="98100"/>
    <n v="97772"/>
    <n v="279"/>
    <s v="#TeslaCoInnovation"/>
    <m/>
    <m/>
    <s v="ModelYCampaign"/>
    <n v="5.9928644240570844E-2"/>
    <m/>
  </r>
  <r>
    <s v="P025"/>
    <x v="1"/>
    <s v="2025-04-10"/>
    <x v="3"/>
    <s v="Check out our latest carousel on twitter!"/>
    <n v="3128"/>
    <n v="211"/>
    <n v="197"/>
    <n v="59432"/>
    <n v="59182"/>
    <n v="238"/>
    <s v="#EVRevolution"/>
    <m/>
    <m/>
    <m/>
    <n v="5.9496567505720827E-2"/>
    <m/>
  </r>
  <r>
    <s v="P015"/>
    <x v="3"/>
    <s v="2024-10-24"/>
    <x v="2"/>
    <s v="Check out our latest video on facebook!"/>
    <n v="3888"/>
    <n v="604"/>
    <n v="128"/>
    <n v="77760"/>
    <n v="77167"/>
    <n v="20"/>
    <s v="#FutureOfDriving"/>
    <m/>
    <m/>
    <s v="CybertruckLaunch"/>
    <n v="5.941358024691358E-2"/>
    <m/>
  </r>
  <r>
    <s v="P296"/>
    <x v="1"/>
    <s v="2025-02-11"/>
    <x v="2"/>
    <s v="Check out our latest video on twitter!"/>
    <n v="3440"/>
    <n v="13"/>
    <n v="20"/>
    <n v="58480"/>
    <n v="58146"/>
    <n v="210"/>
    <s v="#TeslaCoInnovation"/>
    <s v="#SmoothLikeNitroTesla"/>
    <m/>
    <s v="SustainabilityDrive"/>
    <n v="5.9387824897400819E-2"/>
    <m/>
  </r>
  <r>
    <s v="P298"/>
    <x v="3"/>
    <s v="2024-10-24"/>
    <x v="4"/>
    <s v="Check out our latest image on facebook!"/>
    <n v="4303"/>
    <n v="451"/>
    <n v="286"/>
    <n v="86060"/>
    <n v="85823"/>
    <n v="14"/>
    <s v="#TeslaCoInnovation"/>
    <m/>
    <m/>
    <s v="FSDUpdate"/>
    <n v="5.8563792702765516E-2"/>
    <m/>
  </r>
  <r>
    <s v="P216"/>
    <x v="2"/>
    <s v="2024-07-29"/>
    <x v="0"/>
    <s v="Check out our latest story on youtube!"/>
    <n v="1509"/>
    <n v="88"/>
    <n v="163"/>
    <n v="30180"/>
    <n v="29689"/>
    <n v="119"/>
    <s v="#EVRevolution"/>
    <m/>
    <m/>
    <s v="ModelYCampaign"/>
    <n v="5.8316766070245198E-2"/>
    <m/>
  </r>
  <r>
    <s v="P283"/>
    <x v="1"/>
    <s v="2025-05-09"/>
    <x v="1"/>
    <s v="Check out our latest reel on twitter!"/>
    <n v="3367"/>
    <n v="302"/>
    <n v="57"/>
    <n v="63973"/>
    <n v="63789"/>
    <n v="157"/>
    <s v="#FutureOfDriving"/>
    <m/>
    <m/>
    <s v="ModelYCampaign"/>
    <n v="5.8243321401216137E-2"/>
    <m/>
  </r>
  <r>
    <s v="P256"/>
    <x v="2"/>
    <s v="2024-09-18"/>
    <x v="3"/>
    <s v="Check out our latest carousel on youtube!"/>
    <n v="2143"/>
    <n v="12"/>
    <n v="204"/>
    <n v="40717"/>
    <n v="40125"/>
    <n v="248"/>
    <s v="#EVRevolution"/>
    <m/>
    <m/>
    <s v="ModelYCampaign"/>
    <n v="5.7936488444630008E-2"/>
    <m/>
  </r>
  <r>
    <s v="P030"/>
    <x v="0"/>
    <s v="2025-02-25"/>
    <x v="2"/>
    <s v="Check out our latest video on instagram!"/>
    <n v="3095"/>
    <n v="39"/>
    <n v="78"/>
    <n v="55710"/>
    <n v="54808"/>
    <n v="93"/>
    <s v="#EVRevolution"/>
    <m/>
    <m/>
    <m/>
    <n v="5.7655717106444085E-2"/>
    <m/>
  </r>
  <r>
    <s v="P203"/>
    <x v="0"/>
    <s v="2024-11-21"/>
    <x v="3"/>
    <s v="Check out our latest carousel on instagram!"/>
    <n v="3773"/>
    <n v="299"/>
    <n v="38"/>
    <n v="71687"/>
    <n v="71447"/>
    <n v="286"/>
    <s v="#FutureOfDriving"/>
    <m/>
    <m/>
    <s v="CybertruckLaunch"/>
    <n v="5.7332570758993957E-2"/>
    <m/>
  </r>
  <r>
    <s v="P225"/>
    <x v="1"/>
    <s v="2024-06-20"/>
    <x v="3"/>
    <s v="Check out our latest carousel on twitter!"/>
    <n v="4672"/>
    <n v="325"/>
    <n v="32"/>
    <n v="88768"/>
    <n v="87833"/>
    <n v="118"/>
    <s v="#EVRevolution"/>
    <m/>
    <m/>
    <m/>
    <n v="5.6653298485940883E-2"/>
    <m/>
  </r>
  <r>
    <s v="P145"/>
    <x v="0"/>
    <s v="2024-08-12"/>
    <x v="3"/>
    <s v="Check out our latest carousel on instagram!"/>
    <n v="1878"/>
    <n v="62"/>
    <n v="179"/>
    <n v="37560"/>
    <n v="36874"/>
    <n v="142"/>
    <s v="#TeslaCoInnovation"/>
    <m/>
    <m/>
    <s v="SustainabilityDrive"/>
    <n v="5.6416400425985093E-2"/>
    <m/>
  </r>
  <r>
    <s v="P190"/>
    <x v="2"/>
    <s v="2024-10-04"/>
    <x v="5"/>
    <s v="Check out our latest text on youtube!"/>
    <n v="1963"/>
    <n v="213"/>
    <n v="19"/>
    <n v="39260"/>
    <n v="38771"/>
    <n v="145"/>
    <s v="#FutureOfDriving"/>
    <m/>
    <m/>
    <m/>
    <n v="5.5909322465613857E-2"/>
    <m/>
  </r>
  <r>
    <s v="P003"/>
    <x v="2"/>
    <s v="2025-05-12"/>
    <x v="1"/>
    <s v="Check out our latest reel on youtube!"/>
    <n v="2795"/>
    <n v="105"/>
    <n v="49"/>
    <n v="53105"/>
    <n v="52307"/>
    <n v="204"/>
    <s v="#TeslaCoInnovation"/>
    <m/>
    <m/>
    <s v="FSDUpdate"/>
    <n v="5.5531494209584788E-2"/>
    <m/>
  </r>
  <r>
    <s v="P176"/>
    <x v="3"/>
    <s v="2024-06-20"/>
    <x v="2"/>
    <s v="Check out our latest video on facebook!"/>
    <n v="3798"/>
    <n v="31"/>
    <n v="279"/>
    <n v="75960"/>
    <n v="75813"/>
    <n v="266"/>
    <s v="#TeslaCoInnovation"/>
    <m/>
    <m/>
    <s v="CybertruckLaunch"/>
    <n v="5.4081095313322801E-2"/>
    <m/>
  </r>
  <r>
    <s v="P063"/>
    <x v="1"/>
    <s v="2024-07-31"/>
    <x v="3"/>
    <s v="Check out our latest carousel on twitter!"/>
    <n v="4507"/>
    <n v="217"/>
    <n v="13"/>
    <n v="90140"/>
    <n v="89591"/>
    <n v="125"/>
    <s v="#FutureOfDriving"/>
    <m/>
    <m/>
    <s v="FSDUpdate"/>
    <n v="5.2551586421122697E-2"/>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n v="8.06"/>
    <n v="5904"/>
    <n v="1047"/>
    <s v="No Campaign"/>
    <n v="3.0428616268120576E-3"/>
  </r>
  <r>
    <s v="2024-06-03"/>
    <x v="1"/>
    <n v="1312"/>
    <n v="310"/>
    <n v="42654"/>
    <n v="4.9800000000000004"/>
    <n v="9566"/>
    <n v="1002"/>
    <s v="No Campaign"/>
    <n v="2.3491348994232664E-2"/>
  </r>
  <r>
    <s v="2024-06-03"/>
    <x v="2"/>
    <n v="584"/>
    <n v="169"/>
    <n v="146834"/>
    <n v="8.31"/>
    <n v="26752"/>
    <n v="415"/>
    <s v="No Campaign"/>
    <n v="2.826320879360366E-3"/>
  </r>
  <r>
    <s v="2024-06-03"/>
    <x v="3"/>
    <n v="1535"/>
    <n v="445"/>
    <n v="395536"/>
    <n v="4.1100000000000003"/>
    <n v="30671"/>
    <n v="1090"/>
    <s v="No Campaign"/>
    <n v="2.7557542170624167E-3"/>
  </r>
  <r>
    <s v="2024-06-10"/>
    <x v="0"/>
    <n v="656"/>
    <n v="139"/>
    <n v="49157"/>
    <n v="9.0500000000000007"/>
    <n v="9920"/>
    <n v="517"/>
    <s v="No Campaign"/>
    <n v="1.0517322049758936E-2"/>
  </r>
  <r>
    <s v="2024-06-10"/>
    <x v="1"/>
    <n v="1697"/>
    <n v="414"/>
    <n v="316555"/>
    <n v="2.37"/>
    <n v="7924"/>
    <n v="1283"/>
    <s v="No Campaign"/>
    <n v="4.0530081660374974E-3"/>
  </r>
  <r>
    <s v="2024-06-10"/>
    <x v="2"/>
    <n v="436"/>
    <n v="250"/>
    <n v="254347"/>
    <n v="4.01"/>
    <n v="8912"/>
    <n v="186"/>
    <s v="No Campaign"/>
    <n v="7.3128442639386348E-4"/>
  </r>
  <r>
    <s v="2024-06-10"/>
    <x v="3"/>
    <n v="1197"/>
    <n v="203"/>
    <n v="413878"/>
    <n v="3.16"/>
    <n v="21205"/>
    <n v="994"/>
    <s v="No Campaign"/>
    <n v="2.4016739232334168E-3"/>
  </r>
  <r>
    <s v="2024-06-17"/>
    <x v="0"/>
    <n v="1048"/>
    <n v="155"/>
    <n v="456946"/>
    <n v="2.46"/>
    <n v="11329"/>
    <n v="893"/>
    <s v="CybertruckLaunch"/>
    <n v="1.9542790614208243E-3"/>
  </r>
  <r>
    <s v="2024-06-17"/>
    <x v="1"/>
    <n v="1753"/>
    <n v="371"/>
    <n v="169496"/>
    <n v="8.11"/>
    <n v="46670"/>
    <n v="1382"/>
    <s v="CybertruckLaunch"/>
    <n v="8.1535847453627231E-3"/>
  </r>
  <r>
    <s v="2024-06-17"/>
    <x v="2"/>
    <n v="1335"/>
    <n v="40"/>
    <n v="122732"/>
    <n v="8.19"/>
    <n v="22482"/>
    <n v="1295"/>
    <s v="CybertruckLaunch"/>
    <n v="1.0551445425805821E-2"/>
  </r>
  <r>
    <s v="2024-06-17"/>
    <x v="3"/>
    <n v="403"/>
    <n v="66"/>
    <n v="382851"/>
    <n v="3.49"/>
    <n v="24313"/>
    <n v="337"/>
    <s v="CybertruckLaunch"/>
    <n v="8.80238003818718E-4"/>
  </r>
  <r>
    <s v="2024-06-24"/>
    <x v="0"/>
    <n v="911"/>
    <n v="282"/>
    <n v="35664"/>
    <n v="6.92"/>
    <n v="18050"/>
    <n v="629"/>
    <s v="CybertruckLaunch"/>
    <n v="1.7636832660385824E-2"/>
  </r>
  <r>
    <s v="2024-06-24"/>
    <x v="1"/>
    <n v="1779"/>
    <n v="109"/>
    <n v="26295"/>
    <n v="9.1199999999999992"/>
    <n v="30635"/>
    <n v="1670"/>
    <s v="CybertruckLaunch"/>
    <n v="6.3510173036698994E-2"/>
  </r>
  <r>
    <s v="2024-06-24"/>
    <x v="2"/>
    <n v="1238"/>
    <n v="403"/>
    <n v="298421"/>
    <n v="3.5"/>
    <n v="31280"/>
    <n v="835"/>
    <s v="CybertruckLaunch"/>
    <n v="2.798060458211721E-3"/>
  </r>
  <r>
    <s v="2024-06-24"/>
    <x v="3"/>
    <n v="308"/>
    <n v="431"/>
    <n v="426184"/>
    <n v="2.62"/>
    <n v="1783"/>
    <n v="-123"/>
    <s v="CybertruckLaunch"/>
    <n v="-2.8860773750305035E-4"/>
  </r>
  <r>
    <s v="2024-07-01"/>
    <x v="0"/>
    <n v="226"/>
    <n v="445"/>
    <n v="419447"/>
    <n v="9.36"/>
    <n v="9566"/>
    <n v="-219"/>
    <s v="CybertruckLaunch"/>
    <n v="-5.2211602419375983E-4"/>
  </r>
  <r>
    <s v="2024-07-01"/>
    <x v="1"/>
    <n v="505"/>
    <n v="441"/>
    <n v="220020"/>
    <n v="4.4800000000000004"/>
    <n v="42307"/>
    <n v="64"/>
    <s v="CybertruckLaunch"/>
    <n v="2.9088264703208797E-4"/>
  </r>
  <r>
    <s v="2024-07-01"/>
    <x v="2"/>
    <n v="1420"/>
    <n v="63"/>
    <n v="315305"/>
    <n v="6.19"/>
    <n v="5914"/>
    <n v="1357"/>
    <s v="CybertruckLaunch"/>
    <n v="4.3037693661692649E-3"/>
  </r>
  <r>
    <s v="2024-07-01"/>
    <x v="3"/>
    <n v="144"/>
    <n v="53"/>
    <n v="113678"/>
    <n v="8.7200000000000006"/>
    <n v="30060"/>
    <n v="91"/>
    <s v="CybertruckLaunch"/>
    <n v="8.0050669434719116E-4"/>
  </r>
  <r>
    <s v="2024-07-08"/>
    <x v="0"/>
    <n v="1757"/>
    <n v="85"/>
    <n v="58223"/>
    <n v="8.74"/>
    <n v="22728"/>
    <n v="1672"/>
    <s v="CybertruckLaunch"/>
    <n v="2.8717173625543171E-2"/>
  </r>
  <r>
    <s v="2024-07-08"/>
    <x v="1"/>
    <n v="350"/>
    <n v="41"/>
    <n v="251694"/>
    <n v="1.91"/>
    <n v="38610"/>
    <n v="309"/>
    <s v="CybertruckLaunch"/>
    <n v="1.2276812319721568E-3"/>
  </r>
  <r>
    <s v="2024-07-08"/>
    <x v="2"/>
    <n v="987"/>
    <n v="440"/>
    <n v="389810"/>
    <n v="4.66"/>
    <n v="2932"/>
    <n v="547"/>
    <s v="CybertruckLaunch"/>
    <n v="1.40324773607655E-3"/>
  </r>
  <r>
    <s v="2024-07-08"/>
    <x v="3"/>
    <n v="883"/>
    <n v="369"/>
    <n v="233694"/>
    <n v="2.88"/>
    <n v="15071"/>
    <n v="514"/>
    <s v="CybertruckLaunch"/>
    <n v="2.1994574101175039E-3"/>
  </r>
  <r>
    <s v="2024-07-15"/>
    <x v="0"/>
    <n v="1960"/>
    <n v="115"/>
    <n v="154169"/>
    <n v="3.74"/>
    <n v="10740"/>
    <n v="1845"/>
    <s v="CybertruckLaunch"/>
    <n v="1.1967386439556591E-2"/>
  </r>
  <r>
    <s v="2024-07-15"/>
    <x v="1"/>
    <n v="170"/>
    <n v="334"/>
    <n v="334626"/>
    <n v="6.44"/>
    <n v="43420"/>
    <n v="-164"/>
    <s v="CybertruckLaunch"/>
    <n v="-4.9009939454794306E-4"/>
  </r>
  <r>
    <s v="2024-07-15"/>
    <x v="2"/>
    <n v="704"/>
    <n v="275"/>
    <n v="226002"/>
    <n v="8.56"/>
    <n v="32393"/>
    <n v="429"/>
    <s v="CybertruckLaunch"/>
    <n v="1.8982132901478749E-3"/>
  </r>
  <r>
    <s v="2024-07-15"/>
    <x v="3"/>
    <n v="224"/>
    <n v="64"/>
    <n v="156683"/>
    <n v="4.5599999999999996"/>
    <n v="28474"/>
    <n v="160"/>
    <s v="CybertruckLaunch"/>
    <n v="1.0211701333265254E-3"/>
  </r>
  <r>
    <s v="2024-07-22"/>
    <x v="0"/>
    <n v="508"/>
    <n v="349"/>
    <n v="473812"/>
    <n v="7.88"/>
    <n v="17328"/>
    <n v="159"/>
    <s v="No Campaign"/>
    <n v="3.3557613568250698E-4"/>
  </r>
  <r>
    <s v="2024-07-22"/>
    <x v="1"/>
    <n v="1391"/>
    <n v="430"/>
    <n v="295032"/>
    <n v="7.86"/>
    <n v="26067"/>
    <n v="961"/>
    <s v="No Campaign"/>
    <n v="3.2572737872501967E-3"/>
  </r>
  <r>
    <s v="2024-07-22"/>
    <x v="2"/>
    <n v="1701"/>
    <n v="385"/>
    <n v="198278"/>
    <n v="5.34"/>
    <n v="32763"/>
    <n v="1316"/>
    <s v="No Campaign"/>
    <n v="6.6371458255580548E-3"/>
  </r>
  <r>
    <s v="2024-07-22"/>
    <x v="3"/>
    <n v="804"/>
    <n v="487"/>
    <n v="306564"/>
    <n v="5.52"/>
    <n v="26452"/>
    <n v="317"/>
    <s v="No Campaign"/>
    <n v="1.0340418313957282E-3"/>
  </r>
  <r>
    <s v="2024-07-29"/>
    <x v="0"/>
    <n v="653"/>
    <n v="112"/>
    <n v="23664"/>
    <n v="4.05"/>
    <n v="15353"/>
    <n v="541"/>
    <s v="No Campaign"/>
    <n v="2.2861730899256253E-2"/>
  </r>
  <r>
    <s v="2024-07-29"/>
    <x v="1"/>
    <n v="160"/>
    <n v="478"/>
    <n v="435034"/>
    <n v="7.73"/>
    <n v="4839"/>
    <n v="-318"/>
    <s v="No Campaign"/>
    <n v="-7.3097734889686784E-4"/>
  </r>
  <r>
    <s v="2024-07-29"/>
    <x v="2"/>
    <n v="1756"/>
    <n v="261"/>
    <n v="287574"/>
    <n v="4.3600000000000003"/>
    <n v="39272"/>
    <n v="1495"/>
    <s v="No Campaign"/>
    <n v="5.1986619096302169E-3"/>
  </r>
  <r>
    <s v="2024-07-29"/>
    <x v="3"/>
    <n v="576"/>
    <n v="101"/>
    <n v="62499"/>
    <n v="3.48"/>
    <n v="16804"/>
    <n v="475"/>
    <s v="No Campaign"/>
    <n v="7.600121601945631E-3"/>
  </r>
  <r>
    <s v="2024-08-05"/>
    <x v="0"/>
    <n v="645"/>
    <n v="293"/>
    <n v="437968"/>
    <n v="7.83"/>
    <n v="49303"/>
    <n v="352"/>
    <s v="No Campaign"/>
    <n v="8.0371168669857163E-4"/>
  </r>
  <r>
    <s v="2024-08-05"/>
    <x v="1"/>
    <n v="214"/>
    <n v="411"/>
    <n v="125034"/>
    <n v="6.11"/>
    <n v="26455"/>
    <n v="-197"/>
    <s v="No Campaign"/>
    <n v="-1.5755714445670778E-3"/>
  </r>
  <r>
    <s v="2024-08-05"/>
    <x v="2"/>
    <n v="826"/>
    <n v="498"/>
    <n v="449994"/>
    <n v="9.43"/>
    <n v="12384"/>
    <n v="328"/>
    <s v="No Campaign"/>
    <n v="7.2889860753698943E-4"/>
  </r>
  <r>
    <s v="2024-08-05"/>
    <x v="3"/>
    <n v="460"/>
    <n v="141"/>
    <n v="320650"/>
    <n v="4.04"/>
    <n v="49372"/>
    <n v="319"/>
    <s v="No Campaign"/>
    <n v="9.9485420240137223E-4"/>
  </r>
  <r>
    <s v="2024-08-12"/>
    <x v="0"/>
    <n v="1528"/>
    <n v="203"/>
    <n v="489188"/>
    <n v="6.23"/>
    <n v="47101"/>
    <n v="1325"/>
    <s v="No Campaign"/>
    <n v="2.7085701202809553E-3"/>
  </r>
  <r>
    <s v="2024-08-12"/>
    <x v="1"/>
    <n v="1534"/>
    <n v="200"/>
    <n v="307612"/>
    <n v="6.01"/>
    <n v="37903"/>
    <n v="1334"/>
    <s v="No Campaign"/>
    <n v="4.3366318609156986E-3"/>
  </r>
  <r>
    <s v="2024-08-12"/>
    <x v="2"/>
    <n v="485"/>
    <n v="448"/>
    <n v="434883"/>
    <n v="8.5500000000000007"/>
    <n v="33258"/>
    <n v="37"/>
    <s v="No Campaign"/>
    <n v="8.5080354946042954E-5"/>
  </r>
  <r>
    <s v="2024-08-12"/>
    <x v="3"/>
    <n v="1210"/>
    <n v="178"/>
    <n v="102042"/>
    <n v="5.42"/>
    <n v="6915"/>
    <n v="1032"/>
    <s v="No Campaign"/>
    <n v="1.011348268360087E-2"/>
  </r>
  <r>
    <s v="2024-08-19"/>
    <x v="0"/>
    <n v="215"/>
    <n v="139"/>
    <n v="325444"/>
    <n v="3.25"/>
    <n v="35501"/>
    <n v="76"/>
    <s v="No Campaign"/>
    <n v="2.335271198731579E-4"/>
  </r>
  <r>
    <s v="2024-08-19"/>
    <x v="1"/>
    <n v="1078"/>
    <n v="20"/>
    <n v="183924"/>
    <n v="8.84"/>
    <n v="14203"/>
    <n v="1058"/>
    <s v="No Campaign"/>
    <n v="5.7523759813836147E-3"/>
  </r>
  <r>
    <s v="2024-08-19"/>
    <x v="2"/>
    <n v="1751"/>
    <n v="86"/>
    <n v="188655"/>
    <n v="7.24"/>
    <n v="22206"/>
    <n v="1665"/>
    <s v="No Campaign"/>
    <n v="8.825634093981077E-3"/>
  </r>
  <r>
    <s v="2024-08-19"/>
    <x v="3"/>
    <n v="221"/>
    <n v="31"/>
    <n v="87443"/>
    <n v="6.19"/>
    <n v="10283"/>
    <n v="190"/>
    <s v="No Campaign"/>
    <n v="2.1728440241071327E-3"/>
  </r>
  <r>
    <s v="2024-08-26"/>
    <x v="0"/>
    <n v="1685"/>
    <n v="76"/>
    <n v="453799"/>
    <n v="5.71"/>
    <n v="24913"/>
    <n v="1609"/>
    <s v="No Campaign"/>
    <n v="3.5456226214689766E-3"/>
  </r>
  <r>
    <s v="2024-08-26"/>
    <x v="1"/>
    <n v="248"/>
    <n v="211"/>
    <n v="379380"/>
    <n v="9.0399999999999991"/>
    <n v="26925"/>
    <n v="37"/>
    <s v="No Campaign"/>
    <n v="9.7527544941747058E-5"/>
  </r>
  <r>
    <s v="2024-08-26"/>
    <x v="2"/>
    <n v="1300"/>
    <n v="71"/>
    <n v="186454"/>
    <n v="3.91"/>
    <n v="9942"/>
    <n v="1229"/>
    <s v="No Campaign"/>
    <n v="6.5914381026955706E-3"/>
  </r>
  <r>
    <s v="2024-08-26"/>
    <x v="3"/>
    <n v="422"/>
    <n v="394"/>
    <n v="239044"/>
    <n v="7.83"/>
    <n v="32929"/>
    <n v="28"/>
    <s v="No Campaign"/>
    <n v="1.1713324743561855E-4"/>
  </r>
  <r>
    <s v="2024-09-02"/>
    <x v="0"/>
    <n v="1429"/>
    <n v="182"/>
    <n v="101332"/>
    <n v="7.16"/>
    <n v="37829"/>
    <n v="1247"/>
    <s v="No Campaign"/>
    <n v="1.2306082974775983E-2"/>
  </r>
  <r>
    <s v="2024-09-02"/>
    <x v="1"/>
    <n v="1520"/>
    <n v="475"/>
    <n v="496982"/>
    <n v="6.41"/>
    <n v="24384"/>
    <n v="1045"/>
    <s v="No Campaign"/>
    <n v="2.1026918479944948E-3"/>
  </r>
  <r>
    <s v="2024-09-02"/>
    <x v="2"/>
    <n v="557"/>
    <n v="360"/>
    <n v="318779"/>
    <n v="8.02"/>
    <n v="25797"/>
    <n v="197"/>
    <s v="No Campaign"/>
    <n v="6.1798299135137512E-4"/>
  </r>
  <r>
    <s v="2024-09-02"/>
    <x v="3"/>
    <n v="728"/>
    <n v="395"/>
    <n v="370971"/>
    <n v="3.86"/>
    <n v="12646"/>
    <n v="333"/>
    <s v="No Campaign"/>
    <n v="8.9764429025449434E-4"/>
  </r>
  <r>
    <s v="2024-09-09"/>
    <x v="0"/>
    <n v="1592"/>
    <n v="20"/>
    <n v="378054"/>
    <n v="9.09"/>
    <n v="26663"/>
    <n v="1572"/>
    <s v="No Campaign"/>
    <n v="4.1581361392816901E-3"/>
  </r>
  <r>
    <s v="2024-09-09"/>
    <x v="1"/>
    <n v="1842"/>
    <n v="414"/>
    <n v="307524"/>
    <n v="1.76"/>
    <n v="40478"/>
    <n v="1428"/>
    <s v="No Campaign"/>
    <n v="4.6435400163889647E-3"/>
  </r>
  <r>
    <s v="2024-09-09"/>
    <x v="2"/>
    <n v="751"/>
    <n v="491"/>
    <n v="434047"/>
    <n v="9.24"/>
    <n v="15476"/>
    <n v="260"/>
    <s v="No Campaign"/>
    <n v="5.990134708914012E-4"/>
  </r>
  <r>
    <s v="2024-09-09"/>
    <x v="3"/>
    <n v="1409"/>
    <n v="309"/>
    <n v="64583"/>
    <n v="8.99"/>
    <n v="10217"/>
    <n v="1100"/>
    <s v="No Campaign"/>
    <n v="1.7032345973398571E-2"/>
  </r>
  <r>
    <s v="2024-09-16"/>
    <x v="0"/>
    <n v="778"/>
    <n v="401"/>
    <n v="50793"/>
    <n v="3.4"/>
    <n v="21939"/>
    <n v="377"/>
    <s v="No Campaign"/>
    <n v="7.4222825979957871E-3"/>
  </r>
  <r>
    <s v="2024-09-16"/>
    <x v="1"/>
    <n v="443"/>
    <n v="345"/>
    <n v="474162"/>
    <n v="9.1999999999999993"/>
    <n v="47462"/>
    <n v="98"/>
    <s v="No Campaign"/>
    <n v="2.0668041724136477E-4"/>
  </r>
  <r>
    <s v="2024-09-16"/>
    <x v="2"/>
    <n v="1472"/>
    <n v="347"/>
    <n v="392355"/>
    <n v="8.59"/>
    <n v="30270"/>
    <n v="1125"/>
    <s v="No Campaign"/>
    <n v="2.8673012960201858E-3"/>
  </r>
  <r>
    <s v="2024-09-16"/>
    <x v="3"/>
    <n v="123"/>
    <n v="155"/>
    <n v="119934"/>
    <n v="3.5"/>
    <n v="5442"/>
    <n v="-32"/>
    <s v="No Campaign"/>
    <n v="-2.6681341404439108E-4"/>
  </r>
  <r>
    <s v="2024-09-23"/>
    <x v="0"/>
    <n v="817"/>
    <n v="151"/>
    <n v="422625"/>
    <n v="2.36"/>
    <n v="1083"/>
    <n v="666"/>
    <s v="No Campaign"/>
    <n v="1.5758651286601596E-3"/>
  </r>
  <r>
    <s v="2024-09-23"/>
    <x v="1"/>
    <n v="198"/>
    <n v="217"/>
    <n v="239753"/>
    <n v="7.36"/>
    <n v="11901"/>
    <n v="-19"/>
    <s v="No Campaign"/>
    <n v="-7.9248226299566635E-5"/>
  </r>
  <r>
    <s v="2024-09-23"/>
    <x v="2"/>
    <n v="1911"/>
    <n v="231"/>
    <n v="268516"/>
    <n v="8.5500000000000007"/>
    <n v="24018"/>
    <n v="1680"/>
    <s v="No Campaign"/>
    <n v="6.2566104068286429E-3"/>
  </r>
  <r>
    <s v="2024-09-23"/>
    <x v="3"/>
    <n v="1218"/>
    <n v="212"/>
    <n v="63177"/>
    <n v="8.1300000000000008"/>
    <n v="38883"/>
    <n v="1006"/>
    <s v="No Campaign"/>
    <n v="1.592351646960128E-2"/>
  </r>
  <r>
    <s v="2024-09-30"/>
    <x v="0"/>
    <n v="1433"/>
    <n v="408"/>
    <n v="370269"/>
    <n v="3.3"/>
    <n v="30575"/>
    <n v="1025"/>
    <s v="No Campaign"/>
    <n v="2.7682576721248606E-3"/>
  </r>
  <r>
    <s v="2024-09-30"/>
    <x v="1"/>
    <n v="250"/>
    <n v="429"/>
    <n v="453423"/>
    <n v="1.77"/>
    <n v="2315"/>
    <n v="-179"/>
    <s v="No Campaign"/>
    <n v="-3.9477485703195471E-4"/>
  </r>
  <r>
    <s v="2024-09-30"/>
    <x v="2"/>
    <n v="752"/>
    <n v="153"/>
    <n v="64906"/>
    <n v="2.09"/>
    <n v="12148"/>
    <n v="599"/>
    <s v="No Campaign"/>
    <n v="9.2287307798970819E-3"/>
  </r>
  <r>
    <s v="2024-09-30"/>
    <x v="3"/>
    <n v="1918"/>
    <n v="212"/>
    <n v="94360"/>
    <n v="7.36"/>
    <n v="36851"/>
    <n v="1706"/>
    <s v="No Campaign"/>
    <n v="1.8079694785926241E-2"/>
  </r>
  <r>
    <s v="2024-10-07"/>
    <x v="0"/>
    <n v="1939"/>
    <n v="67"/>
    <n v="187183"/>
    <n v="6.25"/>
    <n v="41215"/>
    <n v="1872"/>
    <s v="ModelYCampaign"/>
    <n v="1.0000908202133741E-2"/>
  </r>
  <r>
    <s v="2024-10-07"/>
    <x v="1"/>
    <n v="1929"/>
    <n v="267"/>
    <n v="379363"/>
    <n v="1.75"/>
    <n v="43836"/>
    <n v="1662"/>
    <s v="ModelYCampaign"/>
    <n v="4.3810281972675247E-3"/>
  </r>
  <r>
    <s v="2024-10-07"/>
    <x v="2"/>
    <n v="437"/>
    <n v="330"/>
    <n v="476486"/>
    <n v="4.97"/>
    <n v="4509"/>
    <n v="107"/>
    <s v="ModelYCampaign"/>
    <n v="2.2456063766826309E-4"/>
  </r>
  <r>
    <s v="2024-10-07"/>
    <x v="3"/>
    <n v="307"/>
    <n v="189"/>
    <n v="117767"/>
    <n v="9.3000000000000007"/>
    <n v="27822"/>
    <n v="118"/>
    <s v="ModelYCampaign"/>
    <n v="1.0019784829366461E-3"/>
  </r>
  <r>
    <s v="2024-10-14"/>
    <x v="0"/>
    <n v="1527"/>
    <n v="303"/>
    <n v="388555"/>
    <n v="8.9"/>
    <n v="36397"/>
    <n v="1224"/>
    <s v="ModelYCampaign"/>
    <n v="3.1501331857780751E-3"/>
  </r>
  <r>
    <s v="2024-10-14"/>
    <x v="1"/>
    <n v="643"/>
    <n v="358"/>
    <n v="157599"/>
    <n v="3.88"/>
    <n v="7285"/>
    <n v="285"/>
    <s v="ModelYCampaign"/>
    <n v="1.8083871090552605E-3"/>
  </r>
  <r>
    <s v="2024-10-14"/>
    <x v="2"/>
    <n v="201"/>
    <n v="221"/>
    <n v="309772"/>
    <n v="5.9"/>
    <n v="33174"/>
    <n v="-20"/>
    <s v="ModelYCampaign"/>
    <n v="-6.456361452939582E-5"/>
  </r>
  <r>
    <s v="2024-10-14"/>
    <x v="3"/>
    <n v="414"/>
    <n v="47"/>
    <n v="199178"/>
    <n v="1.53"/>
    <n v="6742"/>
    <n v="367"/>
    <s v="ModelYCampaign"/>
    <n v="1.8425729749269497E-3"/>
  </r>
  <r>
    <s v="2024-10-21"/>
    <x v="0"/>
    <n v="703"/>
    <n v="441"/>
    <n v="357089"/>
    <n v="6.5"/>
    <n v="32478"/>
    <n v="262"/>
    <s v="ModelYCampaign"/>
    <n v="7.3371064356504961E-4"/>
  </r>
  <r>
    <s v="2024-10-21"/>
    <x v="1"/>
    <n v="508"/>
    <n v="69"/>
    <n v="23492"/>
    <n v="3.16"/>
    <n v="42824"/>
    <n v="439"/>
    <s v="ModelYCampaign"/>
    <n v="1.8687212668142345E-2"/>
  </r>
  <r>
    <s v="2024-10-21"/>
    <x v="2"/>
    <n v="697"/>
    <n v="61"/>
    <n v="258287"/>
    <n v="8.25"/>
    <n v="21208"/>
    <n v="636"/>
    <s v="ModelYCampaign"/>
    <n v="2.4623771231227277E-3"/>
  </r>
  <r>
    <s v="2024-10-21"/>
    <x v="3"/>
    <n v="1707"/>
    <n v="223"/>
    <n v="256910"/>
    <n v="5.41"/>
    <n v="44321"/>
    <n v="1484"/>
    <s v="ModelYCampaign"/>
    <n v="5.7763419096181542E-3"/>
  </r>
  <r>
    <s v="2024-10-28"/>
    <x v="0"/>
    <n v="642"/>
    <n v="66"/>
    <n v="346522"/>
    <n v="5.85"/>
    <n v="13116"/>
    <n v="576"/>
    <s v="ModelYCampaign"/>
    <n v="1.6622321237901201E-3"/>
  </r>
  <r>
    <s v="2024-10-28"/>
    <x v="1"/>
    <n v="859"/>
    <n v="473"/>
    <n v="209987"/>
    <n v="4.46"/>
    <n v="30214"/>
    <n v="386"/>
    <s v="ModelYCampaign"/>
    <n v="1.8382090319876945E-3"/>
  </r>
  <r>
    <s v="2024-10-28"/>
    <x v="2"/>
    <n v="191"/>
    <n v="154"/>
    <n v="240550"/>
    <n v="5.22"/>
    <n v="15827"/>
    <n v="37"/>
    <s v="ModelYCampaign"/>
    <n v="1.5381417584701726E-4"/>
  </r>
  <r>
    <s v="2024-10-28"/>
    <x v="3"/>
    <n v="1814"/>
    <n v="157"/>
    <n v="305827"/>
    <n v="1.99"/>
    <n v="46643"/>
    <n v="1657"/>
    <s v="ModelYCampaign"/>
    <n v="5.4180958515762179E-3"/>
  </r>
  <r>
    <s v="2024-11-04"/>
    <x v="0"/>
    <n v="1466"/>
    <n v="69"/>
    <n v="54935"/>
    <n v="6.85"/>
    <n v="36484"/>
    <n v="1397"/>
    <s v="No Campaign"/>
    <n v="2.5430053699827069E-2"/>
  </r>
  <r>
    <s v="2024-11-04"/>
    <x v="1"/>
    <n v="947"/>
    <n v="407"/>
    <n v="319186"/>
    <n v="3.32"/>
    <n v="4996"/>
    <n v="540"/>
    <s v="No Campaign"/>
    <n v="1.6918035252172713E-3"/>
  </r>
  <r>
    <s v="2024-11-04"/>
    <x v="2"/>
    <n v="1821"/>
    <n v="218"/>
    <n v="439080"/>
    <n v="5.68"/>
    <n v="36095"/>
    <n v="1603"/>
    <s v="No Campaign"/>
    <n v="3.6508153411678964E-3"/>
  </r>
  <r>
    <s v="2024-11-04"/>
    <x v="3"/>
    <n v="1507"/>
    <n v="463"/>
    <n v="258944"/>
    <n v="6.08"/>
    <n v="16443"/>
    <n v="1044"/>
    <s v="No Campaign"/>
    <n v="4.0317597627286209E-3"/>
  </r>
  <r>
    <s v="2024-11-11"/>
    <x v="0"/>
    <n v="1075"/>
    <n v="173"/>
    <n v="51395"/>
    <n v="4.66"/>
    <n v="47812"/>
    <n v="902"/>
    <s v="No Campaign"/>
    <n v="1.7550345364335054E-2"/>
  </r>
  <r>
    <s v="2024-11-11"/>
    <x v="1"/>
    <n v="171"/>
    <n v="277"/>
    <n v="309483"/>
    <n v="8.6999999999999993"/>
    <n v="38452"/>
    <n v="-106"/>
    <s v="No Campaign"/>
    <n v="-3.4250669665215861E-4"/>
  </r>
  <r>
    <s v="2024-11-11"/>
    <x v="2"/>
    <n v="1487"/>
    <n v="337"/>
    <n v="87305"/>
    <n v="2.46"/>
    <n v="30428"/>
    <n v="1150"/>
    <s v="No Campaign"/>
    <n v="1.3172212358971423E-2"/>
  </r>
  <r>
    <s v="2024-11-11"/>
    <x v="3"/>
    <n v="454"/>
    <n v="105"/>
    <n v="121091"/>
    <n v="7.97"/>
    <n v="9269"/>
    <n v="349"/>
    <s v="No Campaign"/>
    <n v="2.8821299683708945E-3"/>
  </r>
  <r>
    <s v="2024-11-18"/>
    <x v="0"/>
    <n v="187"/>
    <n v="236"/>
    <n v="51087"/>
    <n v="9.41"/>
    <n v="29533"/>
    <n v="-49"/>
    <s v="No Campaign"/>
    <n v="-9.5914811987394058E-4"/>
  </r>
  <r>
    <s v="2024-11-18"/>
    <x v="1"/>
    <n v="513"/>
    <n v="441"/>
    <n v="338847"/>
    <n v="2.68"/>
    <n v="39997"/>
    <n v="72"/>
    <s v="No Campaign"/>
    <n v="2.1248528096751631E-4"/>
  </r>
  <r>
    <s v="2024-11-18"/>
    <x v="2"/>
    <n v="628"/>
    <n v="183"/>
    <n v="487523"/>
    <n v="7.32"/>
    <n v="5391"/>
    <n v="445"/>
    <s v="No Campaign"/>
    <n v="9.1277744844858602E-4"/>
  </r>
  <r>
    <s v="2024-11-18"/>
    <x v="3"/>
    <n v="278"/>
    <n v="218"/>
    <n v="301695"/>
    <n v="4.68"/>
    <n v="22373"/>
    <n v="60"/>
    <s v="No Campaign"/>
    <n v="1.9887634863023914E-4"/>
  </r>
  <r>
    <s v="2024-11-25"/>
    <x v="0"/>
    <n v="1854"/>
    <n v="161"/>
    <n v="282466"/>
    <n v="5.17"/>
    <n v="1810"/>
    <n v="1693"/>
    <s v="No Campaign"/>
    <n v="5.9936417126309005E-3"/>
  </r>
  <r>
    <s v="2024-11-25"/>
    <x v="1"/>
    <n v="1710"/>
    <n v="378"/>
    <n v="336661"/>
    <n v="6.2"/>
    <n v="28498"/>
    <n v="1332"/>
    <s v="No Campaign"/>
    <n v="3.9565022381564839E-3"/>
  </r>
  <r>
    <s v="2024-11-25"/>
    <x v="2"/>
    <n v="330"/>
    <n v="232"/>
    <n v="88455"/>
    <n v="2.69"/>
    <n v="39530"/>
    <n v="98"/>
    <s v="No Campaign"/>
    <n v="1.1079079758069075E-3"/>
  </r>
  <r>
    <s v="2024-11-25"/>
    <x v="3"/>
    <n v="1293"/>
    <n v="408"/>
    <n v="62535"/>
    <n v="8.9"/>
    <n v="37876"/>
    <n v="885"/>
    <s v="No Campaign"/>
    <n v="1.4152074838090669E-2"/>
  </r>
  <r>
    <s v="2024-12-02"/>
    <x v="0"/>
    <n v="1696"/>
    <n v="71"/>
    <n v="421957"/>
    <n v="3.79"/>
    <n v="36103"/>
    <n v="1625"/>
    <s v="No Campaign"/>
    <n v="3.8511033114748661E-3"/>
  </r>
  <r>
    <s v="2024-12-02"/>
    <x v="1"/>
    <n v="1902"/>
    <n v="196"/>
    <n v="470269"/>
    <n v="4.79"/>
    <n v="26103"/>
    <n v="1706"/>
    <s v="No Campaign"/>
    <n v="3.6277109484146308E-3"/>
  </r>
  <r>
    <s v="2024-12-02"/>
    <x v="2"/>
    <n v="1441"/>
    <n v="268"/>
    <n v="309904"/>
    <n v="6.37"/>
    <n v="3455"/>
    <n v="1173"/>
    <s v="No Campaign"/>
    <n v="3.7850431101244257E-3"/>
  </r>
  <r>
    <s v="2024-12-02"/>
    <x v="3"/>
    <n v="452"/>
    <n v="161"/>
    <n v="221274"/>
    <n v="2.65"/>
    <n v="40888"/>
    <n v="291"/>
    <s v="No Campaign"/>
    <n v="1.3151115811166245E-3"/>
  </r>
  <r>
    <s v="2024-12-09"/>
    <x v="0"/>
    <n v="1494"/>
    <n v="375"/>
    <n v="220616"/>
    <n v="1.81"/>
    <n v="22724"/>
    <n v="1119"/>
    <s v="No Campaign"/>
    <n v="5.0721615839286359E-3"/>
  </r>
  <r>
    <s v="2024-12-09"/>
    <x v="1"/>
    <n v="1514"/>
    <n v="141"/>
    <n v="35842"/>
    <n v="7.47"/>
    <n v="18601"/>
    <n v="1373"/>
    <s v="No Campaign"/>
    <n v="3.8307014117515761E-2"/>
  </r>
  <r>
    <s v="2024-12-09"/>
    <x v="2"/>
    <n v="1937"/>
    <n v="210"/>
    <n v="20607"/>
    <n v="4.2"/>
    <n v="20861"/>
    <n v="1727"/>
    <s v="No Campaign"/>
    <n v="8.3806473528412681E-2"/>
  </r>
  <r>
    <s v="2024-12-09"/>
    <x v="3"/>
    <n v="736"/>
    <n v="163"/>
    <n v="451894"/>
    <n v="5.43"/>
    <n v="46625"/>
    <n v="573"/>
    <s v="No Campaign"/>
    <n v="1.2679964770499277E-3"/>
  </r>
  <r>
    <s v="2024-12-16"/>
    <x v="0"/>
    <n v="1502"/>
    <n v="70"/>
    <n v="465553"/>
    <n v="3.32"/>
    <n v="20692"/>
    <n v="1432"/>
    <s v="No Campaign"/>
    <n v="3.0759118725472716E-3"/>
  </r>
  <r>
    <s v="2024-12-16"/>
    <x v="1"/>
    <n v="1623"/>
    <n v="246"/>
    <n v="415815"/>
    <n v="8.11"/>
    <n v="18656"/>
    <n v="1377"/>
    <s v="No Campaign"/>
    <n v="3.311568846722701E-3"/>
  </r>
  <r>
    <s v="2024-12-16"/>
    <x v="2"/>
    <n v="1592"/>
    <n v="233"/>
    <n v="327183"/>
    <n v="6.66"/>
    <n v="13316"/>
    <n v="1359"/>
    <s v="No Campaign"/>
    <n v="4.1536387893013997E-3"/>
  </r>
  <r>
    <s v="2024-12-16"/>
    <x v="3"/>
    <n v="1004"/>
    <n v="128"/>
    <n v="488901"/>
    <n v="8.09"/>
    <n v="49558"/>
    <n v="876"/>
    <s v="No Campaign"/>
    <n v="1.7917737946946315E-3"/>
  </r>
  <r>
    <s v="2024-12-23"/>
    <x v="0"/>
    <n v="1092"/>
    <n v="408"/>
    <n v="280795"/>
    <n v="8.44"/>
    <n v="4683"/>
    <n v="684"/>
    <s v="No Campaign"/>
    <n v="2.4359408109118751E-3"/>
  </r>
  <r>
    <s v="2024-12-23"/>
    <x v="1"/>
    <n v="1155"/>
    <n v="425"/>
    <n v="93347"/>
    <n v="2.02"/>
    <n v="47502"/>
    <n v="730"/>
    <s v="No Campaign"/>
    <n v="7.8202834584935772E-3"/>
  </r>
  <r>
    <s v="2024-12-23"/>
    <x v="2"/>
    <n v="1137"/>
    <n v="226"/>
    <n v="81119"/>
    <n v="7.74"/>
    <n v="35359"/>
    <n v="911"/>
    <s v="No Campaign"/>
    <n v="1.1230414576116569E-2"/>
  </r>
  <r>
    <s v="2024-12-23"/>
    <x v="3"/>
    <n v="1900"/>
    <n v="311"/>
    <n v="25177"/>
    <n v="2.89"/>
    <n v="14154"/>
    <n v="1589"/>
    <s v="No Campaign"/>
    <n v="6.3113158835445049E-2"/>
  </r>
  <r>
    <s v="2024-12-30"/>
    <x v="0"/>
    <n v="1814"/>
    <n v="49"/>
    <n v="140804"/>
    <n v="1.76"/>
    <n v="4313"/>
    <n v="1765"/>
    <s v="FSDUpdate"/>
    <n v="1.253515525127127E-2"/>
  </r>
  <r>
    <s v="2024-12-30"/>
    <x v="1"/>
    <n v="1980"/>
    <n v="204"/>
    <n v="379431"/>
    <n v="3.09"/>
    <n v="25140"/>
    <n v="1776"/>
    <s v="FSDUpdate"/>
    <n v="4.6806929323118035E-3"/>
  </r>
  <r>
    <s v="2024-12-30"/>
    <x v="2"/>
    <n v="1786"/>
    <n v="257"/>
    <n v="274831"/>
    <n v="4.68"/>
    <n v="9118"/>
    <n v="1529"/>
    <s v="FSDUpdate"/>
    <n v="5.5634189738421064E-3"/>
  </r>
  <r>
    <s v="2024-12-30"/>
    <x v="3"/>
    <n v="1495"/>
    <n v="35"/>
    <n v="136845"/>
    <n v="4.4800000000000004"/>
    <n v="39931"/>
    <n v="1460"/>
    <s v="FSDUpdate"/>
    <n v="1.0669005078738719E-2"/>
  </r>
  <r>
    <s v="2025-01-06"/>
    <x v="0"/>
    <n v="1013"/>
    <n v="110"/>
    <n v="466382"/>
    <n v="5.3"/>
    <n v="37132"/>
    <n v="903"/>
    <s v="FSDUpdate"/>
    <n v="1.9361810704529763E-3"/>
  </r>
  <r>
    <s v="2025-01-06"/>
    <x v="1"/>
    <n v="816"/>
    <n v="196"/>
    <n v="95728"/>
    <n v="8.1999999999999993"/>
    <n v="17951"/>
    <n v="620"/>
    <s v="FSDUpdate"/>
    <n v="6.4766839378238338E-3"/>
  </r>
  <r>
    <s v="2025-01-06"/>
    <x v="2"/>
    <n v="1633"/>
    <n v="445"/>
    <n v="371156"/>
    <n v="2.2200000000000002"/>
    <n v="2798"/>
    <n v="1188"/>
    <s v="FSDUpdate"/>
    <n v="3.2008104408927781E-3"/>
  </r>
  <r>
    <s v="2025-01-06"/>
    <x v="3"/>
    <n v="891"/>
    <n v="45"/>
    <n v="95410"/>
    <n v="8.33"/>
    <n v="15045"/>
    <n v="846"/>
    <s v="FSDUpdate"/>
    <n v="8.8669950738916262E-3"/>
  </r>
  <r>
    <s v="2025-01-13"/>
    <x v="0"/>
    <n v="1855"/>
    <n v="133"/>
    <n v="349413"/>
    <n v="3.3"/>
    <n v="14548"/>
    <n v="1722"/>
    <s v="No Campaign"/>
    <n v="4.9282654051223049E-3"/>
  </r>
  <r>
    <s v="2025-01-13"/>
    <x v="1"/>
    <n v="651"/>
    <n v="353"/>
    <n v="224699"/>
    <n v="5.61"/>
    <n v="45708"/>
    <n v="298"/>
    <s v="No Campaign"/>
    <n v="1.3262186302564765E-3"/>
  </r>
  <r>
    <s v="2025-01-13"/>
    <x v="2"/>
    <n v="118"/>
    <n v="262"/>
    <n v="487896"/>
    <n v="2.56"/>
    <n v="12350"/>
    <n v="-144"/>
    <s v="No Campaign"/>
    <n v="-2.9514486693885583E-4"/>
  </r>
  <r>
    <s v="2025-01-13"/>
    <x v="3"/>
    <n v="1331"/>
    <n v="430"/>
    <n v="14437"/>
    <n v="3.29"/>
    <n v="40868"/>
    <n v="901"/>
    <s v="No Campaign"/>
    <n v="6.2409087760615087E-2"/>
  </r>
  <r>
    <s v="2025-01-20"/>
    <x v="0"/>
    <n v="1748"/>
    <n v="176"/>
    <n v="383681"/>
    <n v="9.24"/>
    <n v="43122"/>
    <n v="1572"/>
    <s v="No Campaign"/>
    <n v="4.0971536250166149E-3"/>
  </r>
  <r>
    <s v="2025-01-20"/>
    <x v="1"/>
    <n v="663"/>
    <n v="236"/>
    <n v="479490"/>
    <n v="4.51"/>
    <n v="23853"/>
    <n v="427"/>
    <s v="No Campaign"/>
    <n v="8.9052952094934197E-4"/>
  </r>
  <r>
    <s v="2025-01-20"/>
    <x v="2"/>
    <n v="1040"/>
    <n v="149"/>
    <n v="124404"/>
    <n v="5.23"/>
    <n v="45380"/>
    <n v="891"/>
    <s v="No Campaign"/>
    <n v="7.1621491270377159E-3"/>
  </r>
  <r>
    <s v="2025-01-20"/>
    <x v="3"/>
    <n v="1166"/>
    <n v="442"/>
    <n v="336949"/>
    <n v="4.68"/>
    <n v="7705"/>
    <n v="724"/>
    <s v="No Campaign"/>
    <n v="2.1486931256659019E-3"/>
  </r>
  <r>
    <s v="2025-01-27"/>
    <x v="0"/>
    <n v="115"/>
    <n v="281"/>
    <n v="357265"/>
    <n v="9.23"/>
    <n v="25525"/>
    <n v="-166"/>
    <s v="No Campaign"/>
    <n v="-4.6464109274628077E-4"/>
  </r>
  <r>
    <s v="2025-01-27"/>
    <x v="1"/>
    <n v="1249"/>
    <n v="351"/>
    <n v="321307"/>
    <n v="6.37"/>
    <n v="20560"/>
    <n v="898"/>
    <s v="No Campaign"/>
    <n v="2.7948348464241365E-3"/>
  </r>
  <r>
    <s v="2025-01-27"/>
    <x v="2"/>
    <n v="1501"/>
    <n v="75"/>
    <n v="262569"/>
    <n v="2.0099999999999998"/>
    <n v="19119"/>
    <n v="1426"/>
    <s v="No Campaign"/>
    <n v="5.4309533874905263E-3"/>
  </r>
  <r>
    <s v="2025-01-27"/>
    <x v="3"/>
    <n v="1411"/>
    <n v="186"/>
    <n v="461669"/>
    <n v="3.72"/>
    <n v="43999"/>
    <n v="1225"/>
    <s v="No Campaign"/>
    <n v="2.6534161921203288E-3"/>
  </r>
  <r>
    <s v="2025-02-03"/>
    <x v="0"/>
    <n v="1556"/>
    <n v="476"/>
    <n v="351556"/>
    <n v="3.89"/>
    <n v="10825"/>
    <n v="1080"/>
    <s v="No Campaign"/>
    <n v="3.0720567989168156E-3"/>
  </r>
  <r>
    <s v="2025-02-03"/>
    <x v="1"/>
    <n v="1159"/>
    <n v="411"/>
    <n v="135987"/>
    <n v="8.6999999999999993"/>
    <n v="40323"/>
    <n v="748"/>
    <s v="No Campaign"/>
    <n v="5.5005257855530306E-3"/>
  </r>
  <r>
    <s v="2025-02-03"/>
    <x v="2"/>
    <n v="927"/>
    <n v="358"/>
    <n v="177554"/>
    <n v="6.95"/>
    <n v="48270"/>
    <n v="569"/>
    <s v="No Campaign"/>
    <n v="3.2046588643454949E-3"/>
  </r>
  <r>
    <s v="2025-02-03"/>
    <x v="3"/>
    <n v="152"/>
    <n v="355"/>
    <n v="270766"/>
    <n v="9.48"/>
    <n v="18001"/>
    <n v="-203"/>
    <s v="No Campaign"/>
    <n v="-7.4972485467156139E-4"/>
  </r>
  <r>
    <s v="2025-02-10"/>
    <x v="0"/>
    <n v="1957"/>
    <n v="234"/>
    <n v="222126"/>
    <n v="4.6100000000000003"/>
    <n v="3314"/>
    <n v="1723"/>
    <s v="No Campaign"/>
    <n v="7.7568587198256845E-3"/>
  </r>
  <r>
    <s v="2025-02-10"/>
    <x v="1"/>
    <n v="1294"/>
    <n v="382"/>
    <n v="309914"/>
    <n v="8.0299999999999994"/>
    <n v="23489"/>
    <n v="912"/>
    <s v="No Campaign"/>
    <n v="2.9427518601934728E-3"/>
  </r>
  <r>
    <s v="2025-02-10"/>
    <x v="2"/>
    <n v="1587"/>
    <n v="385"/>
    <n v="126582"/>
    <n v="6.99"/>
    <n v="42832"/>
    <n v="1202"/>
    <s v="No Campaign"/>
    <n v="9.4958208908059605E-3"/>
  </r>
  <r>
    <s v="2025-02-10"/>
    <x v="3"/>
    <n v="1707"/>
    <n v="263"/>
    <n v="485280"/>
    <n v="9.0299999999999994"/>
    <n v="24494"/>
    <n v="1444"/>
    <s v="No Campaign"/>
    <n v="2.9756017144741179E-3"/>
  </r>
  <r>
    <s v="2025-02-17"/>
    <x v="0"/>
    <n v="1138"/>
    <n v="173"/>
    <n v="453243"/>
    <n v="2.86"/>
    <n v="44097"/>
    <n v="965"/>
    <s v="No Campaign"/>
    <n v="2.1291007252180398E-3"/>
  </r>
  <r>
    <s v="2025-02-17"/>
    <x v="1"/>
    <n v="1895"/>
    <n v="305"/>
    <n v="104967"/>
    <n v="3.85"/>
    <n v="31853"/>
    <n v="1590"/>
    <s v="No Campaign"/>
    <n v="1.5147617822744291E-2"/>
  </r>
  <r>
    <s v="2025-02-17"/>
    <x v="2"/>
    <n v="362"/>
    <n v="399"/>
    <n v="145608"/>
    <n v="7.3"/>
    <n v="37636"/>
    <n v="-37"/>
    <s v="No Campaign"/>
    <n v="-2.5410691720235154E-4"/>
  </r>
  <r>
    <s v="2025-02-17"/>
    <x v="3"/>
    <n v="1662"/>
    <n v="487"/>
    <n v="105980"/>
    <n v="9.08"/>
    <n v="22996"/>
    <n v="1175"/>
    <s v="No Campaign"/>
    <n v="1.1086997546706926E-2"/>
  </r>
  <r>
    <s v="2025-02-24"/>
    <x v="0"/>
    <n v="1440"/>
    <n v="65"/>
    <n v="126524"/>
    <n v="4.34"/>
    <n v="49772"/>
    <n v="1375"/>
    <s v="No Campaign"/>
    <n v="1.0867503398564699E-2"/>
  </r>
  <r>
    <s v="2025-02-24"/>
    <x v="1"/>
    <n v="1884"/>
    <n v="177"/>
    <n v="230448"/>
    <n v="7.8"/>
    <n v="22713"/>
    <n v="1707"/>
    <s v="No Campaign"/>
    <n v="7.4073109768798169E-3"/>
  </r>
  <r>
    <s v="2025-02-24"/>
    <x v="2"/>
    <n v="861"/>
    <n v="153"/>
    <n v="317007"/>
    <n v="3.85"/>
    <n v="8718"/>
    <n v="708"/>
    <s v="No Campaign"/>
    <n v="2.2333891680625349E-3"/>
  </r>
  <r>
    <s v="2025-02-24"/>
    <x v="3"/>
    <n v="1063"/>
    <n v="47"/>
    <n v="464239"/>
    <n v="6.58"/>
    <n v="39031"/>
    <n v="1016"/>
    <s v="No Campaign"/>
    <n v="2.1885278918832756E-3"/>
  </r>
  <r>
    <s v="2025-03-03"/>
    <x v="0"/>
    <n v="1371"/>
    <n v="56"/>
    <n v="257579"/>
    <n v="8.6199999999999992"/>
    <n v="33799"/>
    <n v="1315"/>
    <s v="SustainabilityDrive"/>
    <n v="5.1052298518124532E-3"/>
  </r>
  <r>
    <s v="2025-03-03"/>
    <x v="1"/>
    <n v="345"/>
    <n v="464"/>
    <n v="366881"/>
    <n v="4.55"/>
    <n v="20553"/>
    <n v="-119"/>
    <s v="SustainabilityDrive"/>
    <n v="-3.2435585380545735E-4"/>
  </r>
  <r>
    <s v="2025-03-03"/>
    <x v="2"/>
    <n v="946"/>
    <n v="47"/>
    <n v="466575"/>
    <n v="8.33"/>
    <n v="10002"/>
    <n v="899"/>
    <s v="SustainabilityDrive"/>
    <n v="1.9268070513850934E-3"/>
  </r>
  <r>
    <s v="2025-03-03"/>
    <x v="3"/>
    <n v="510"/>
    <n v="195"/>
    <n v="224534"/>
    <n v="9.4"/>
    <n v="30987"/>
    <n v="315"/>
    <s v="SustainabilityDrive"/>
    <n v="1.4029055733207443E-3"/>
  </r>
  <r>
    <s v="2025-03-10"/>
    <x v="0"/>
    <n v="393"/>
    <n v="181"/>
    <n v="462142"/>
    <n v="7.23"/>
    <n v="6296"/>
    <n v="212"/>
    <s v="SustainabilityDrive"/>
    <n v="4.5873346287504706E-4"/>
  </r>
  <r>
    <s v="2025-03-10"/>
    <x v="1"/>
    <n v="1098"/>
    <n v="190"/>
    <n v="340842"/>
    <n v="9.39"/>
    <n v="21539"/>
    <n v="908"/>
    <s v="SustainabilityDrive"/>
    <n v="2.6639909400836752E-3"/>
  </r>
  <r>
    <s v="2025-03-10"/>
    <x v="2"/>
    <n v="1399"/>
    <n v="49"/>
    <n v="12471"/>
    <n v="5.12"/>
    <n v="14722"/>
    <n v="1350"/>
    <s v="SustainabilityDrive"/>
    <n v="0.10825114265095021"/>
  </r>
  <r>
    <s v="2025-03-10"/>
    <x v="3"/>
    <n v="1658"/>
    <n v="416"/>
    <n v="98397"/>
    <n v="6.11"/>
    <n v="11383"/>
    <n v="1242"/>
    <s v="SustainabilityDrive"/>
    <n v="1.2622336046830695E-2"/>
  </r>
  <r>
    <s v="2025-03-17"/>
    <x v="0"/>
    <n v="1102"/>
    <n v="422"/>
    <n v="410330"/>
    <n v="7.74"/>
    <n v="9480"/>
    <n v="680"/>
    <s v="SustainabilityDrive"/>
    <n v="1.6572027392586454E-3"/>
  </r>
  <r>
    <s v="2025-03-17"/>
    <x v="1"/>
    <n v="1358"/>
    <n v="242"/>
    <n v="342129"/>
    <n v="4.9400000000000004"/>
    <n v="29116"/>
    <n v="1116"/>
    <s v="SustainabilityDrive"/>
    <n v="3.2619275185675578E-3"/>
  </r>
  <r>
    <s v="2025-03-17"/>
    <x v="2"/>
    <n v="1077"/>
    <n v="216"/>
    <n v="12447"/>
    <n v="1.8"/>
    <n v="14068"/>
    <n v="861"/>
    <s v="SustainabilityDrive"/>
    <n v="6.9173294769824048E-2"/>
  </r>
  <r>
    <s v="2025-03-17"/>
    <x v="3"/>
    <n v="1596"/>
    <n v="211"/>
    <n v="17380"/>
    <n v="8.64"/>
    <n v="35801"/>
    <n v="1385"/>
    <s v="SustainabilityDrive"/>
    <n v="7.9689298043728429E-2"/>
  </r>
  <r>
    <s v="2025-03-24"/>
    <x v="0"/>
    <n v="490"/>
    <n v="29"/>
    <n v="364810"/>
    <n v="1.53"/>
    <n v="49077"/>
    <n v="461"/>
    <s v="SustainabilityDrive"/>
    <n v="1.2636715002329981E-3"/>
  </r>
  <r>
    <s v="2025-03-24"/>
    <x v="1"/>
    <n v="609"/>
    <n v="135"/>
    <n v="373606"/>
    <n v="8.52"/>
    <n v="21453"/>
    <n v="474"/>
    <s v="SustainabilityDrive"/>
    <n v="1.268716241173857E-3"/>
  </r>
  <r>
    <s v="2025-03-24"/>
    <x v="2"/>
    <n v="364"/>
    <n v="72"/>
    <n v="211090"/>
    <n v="5.53"/>
    <n v="21061"/>
    <n v="292"/>
    <s v="SustainabilityDrive"/>
    <n v="1.3832962243592781E-3"/>
  </r>
  <r>
    <s v="2025-03-24"/>
    <x v="3"/>
    <n v="442"/>
    <n v="53"/>
    <n v="441931"/>
    <n v="1.87"/>
    <n v="20059"/>
    <n v="389"/>
    <s v="SustainabilityDrive"/>
    <n v="8.8022790888170322E-4"/>
  </r>
  <r>
    <s v="2025-03-31"/>
    <x v="0"/>
    <n v="1033"/>
    <n v="392"/>
    <n v="282780"/>
    <n v="6.27"/>
    <n v="23140"/>
    <n v="641"/>
    <s v="SustainabilityDrive"/>
    <n v="2.2667798288422093E-3"/>
  </r>
  <r>
    <s v="2025-03-31"/>
    <x v="1"/>
    <n v="988"/>
    <n v="474"/>
    <n v="370070"/>
    <n v="9.4600000000000009"/>
    <n v="23461"/>
    <n v="514"/>
    <s v="SustainabilityDrive"/>
    <n v="1.3889264193260734E-3"/>
  </r>
  <r>
    <s v="2025-03-31"/>
    <x v="2"/>
    <n v="1946"/>
    <n v="270"/>
    <n v="198350"/>
    <n v="7.5"/>
    <n v="11805"/>
    <n v="1676"/>
    <s v="SustainabilityDrive"/>
    <n v="8.4497101083942528E-3"/>
  </r>
  <r>
    <s v="2025-03-31"/>
    <x v="3"/>
    <n v="1957"/>
    <n v="490"/>
    <n v="435726"/>
    <n v="4.7300000000000004"/>
    <n v="15969"/>
    <n v="1467"/>
    <s v="SustainabilityDrive"/>
    <n v="3.3667947287974553E-3"/>
  </r>
  <r>
    <s v="2025-04-07"/>
    <x v="0"/>
    <n v="559"/>
    <n v="392"/>
    <n v="78789"/>
    <n v="3.19"/>
    <n v="2436"/>
    <n v="167"/>
    <s v="No Campaign"/>
    <n v="2.1195852212872357E-3"/>
  </r>
  <r>
    <s v="2025-04-07"/>
    <x v="1"/>
    <n v="1307"/>
    <n v="278"/>
    <n v="98596"/>
    <n v="2.4900000000000002"/>
    <n v="47603"/>
    <n v="1029"/>
    <s v="No Campaign"/>
    <n v="1.0436528865268368E-2"/>
  </r>
  <r>
    <s v="2025-04-07"/>
    <x v="2"/>
    <n v="1432"/>
    <n v="425"/>
    <n v="29589"/>
    <n v="4.5"/>
    <n v="42964"/>
    <n v="1007"/>
    <s v="No Campaign"/>
    <n v="3.4032917638311531E-2"/>
  </r>
  <r>
    <s v="2025-04-07"/>
    <x v="3"/>
    <n v="623"/>
    <n v="414"/>
    <n v="290354"/>
    <n v="6.49"/>
    <n v="39923"/>
    <n v="209"/>
    <s v="No Campaign"/>
    <n v="7.1981098934404211E-4"/>
  </r>
  <r>
    <s v="2025-04-14"/>
    <x v="0"/>
    <n v="198"/>
    <n v="358"/>
    <n v="66682"/>
    <n v="6.73"/>
    <n v="2293"/>
    <n v="-160"/>
    <s v="No Campaign"/>
    <n v="-2.3994481269308059E-3"/>
  </r>
  <r>
    <s v="2025-04-14"/>
    <x v="1"/>
    <n v="198"/>
    <n v="373"/>
    <n v="70707"/>
    <n v="4.83"/>
    <n v="25920"/>
    <n v="-175"/>
    <s v="No Campaign"/>
    <n v="-2.4750024750024749E-3"/>
  </r>
  <r>
    <s v="2025-04-14"/>
    <x v="2"/>
    <n v="353"/>
    <n v="300"/>
    <n v="142507"/>
    <n v="5.3"/>
    <n v="11035"/>
    <n v="53"/>
    <s v="No Campaign"/>
    <n v="3.7191155522184875E-4"/>
  </r>
  <r>
    <s v="2025-04-14"/>
    <x v="3"/>
    <n v="520"/>
    <n v="375"/>
    <n v="369525"/>
    <n v="6.54"/>
    <n v="20733"/>
    <n v="145"/>
    <s v="No Campaign"/>
    <n v="3.9239564305527366E-4"/>
  </r>
  <r>
    <s v="2025-04-21"/>
    <x v="0"/>
    <n v="961"/>
    <n v="358"/>
    <n v="62942"/>
    <n v="6.8"/>
    <n v="18693"/>
    <n v="603"/>
    <s v="No Campaign"/>
    <n v="9.5802484827301332E-3"/>
  </r>
  <r>
    <s v="2025-04-21"/>
    <x v="1"/>
    <n v="1375"/>
    <n v="330"/>
    <n v="377382"/>
    <n v="2.6"/>
    <n v="7875"/>
    <n v="1045"/>
    <s v="No Campaign"/>
    <n v="2.7690774864725927E-3"/>
  </r>
  <r>
    <s v="2025-04-21"/>
    <x v="2"/>
    <n v="1147"/>
    <n v="388"/>
    <n v="333851"/>
    <n v="2.44"/>
    <n v="8471"/>
    <n v="759"/>
    <s v="No Campaign"/>
    <n v="2.2734693021737242E-3"/>
  </r>
  <r>
    <s v="2025-04-21"/>
    <x v="3"/>
    <n v="1707"/>
    <n v="74"/>
    <n v="270958"/>
    <n v="3.09"/>
    <n v="14090"/>
    <n v="1633"/>
    <s v="No Campaign"/>
    <n v="6.0267642955734836E-3"/>
  </r>
  <r>
    <s v="2025-04-28"/>
    <x v="0"/>
    <n v="1693"/>
    <n v="154"/>
    <n v="445944"/>
    <n v="5.69"/>
    <n v="14216"/>
    <n v="1539"/>
    <s v="No Campaign"/>
    <n v="3.4511059684624078E-3"/>
  </r>
  <r>
    <s v="2025-04-28"/>
    <x v="1"/>
    <n v="833"/>
    <n v="380"/>
    <n v="224830"/>
    <n v="3.86"/>
    <n v="3582"/>
    <n v="453"/>
    <s v="No Campaign"/>
    <n v="2.014855668727483E-3"/>
  </r>
  <r>
    <s v="2025-04-28"/>
    <x v="2"/>
    <n v="1222"/>
    <n v="274"/>
    <n v="487289"/>
    <n v="3.16"/>
    <n v="32500"/>
    <n v="948"/>
    <s v="No Campaign"/>
    <n v="1.9454574184929272E-3"/>
  </r>
  <r>
    <s v="2025-04-28"/>
    <x v="3"/>
    <n v="777"/>
    <n v="140"/>
    <n v="11435"/>
    <n v="1.6"/>
    <n v="6832"/>
    <n v="637"/>
    <s v="No Campaign"/>
    <n v="5.5706165282028861E-2"/>
  </r>
  <r>
    <s v="2025-05-05"/>
    <x v="0"/>
    <n v="1957"/>
    <n v="76"/>
    <n v="447902"/>
    <n v="6.09"/>
    <n v="33381"/>
    <n v="1881"/>
    <s v="No Campaign"/>
    <n v="4.1995793722733989E-3"/>
  </r>
  <r>
    <s v="2025-05-05"/>
    <x v="1"/>
    <n v="405"/>
    <n v="66"/>
    <n v="418696"/>
    <n v="5.59"/>
    <n v="48419"/>
    <n v="339"/>
    <s v="No Campaign"/>
    <n v="8.0965664826031301E-4"/>
  </r>
  <r>
    <s v="2025-05-05"/>
    <x v="2"/>
    <n v="1581"/>
    <n v="71"/>
    <n v="484364"/>
    <n v="3.55"/>
    <n v="16149"/>
    <n v="1510"/>
    <s v="No Campaign"/>
    <n v="3.1174901520344203E-3"/>
  </r>
  <r>
    <s v="2025-05-05"/>
    <x v="3"/>
    <n v="1035"/>
    <n v="171"/>
    <n v="148477"/>
    <n v="5.21"/>
    <n v="7541"/>
    <n v="864"/>
    <s v="No Campaign"/>
    <n v="5.8190830903102836E-3"/>
  </r>
  <r>
    <s v="2025-05-12"/>
    <x v="0"/>
    <n v="1765"/>
    <n v="109"/>
    <n v="468301"/>
    <n v="1.82"/>
    <n v="20042"/>
    <n v="1656"/>
    <s v="No Campaign"/>
    <n v="3.5361871958419907E-3"/>
  </r>
  <r>
    <s v="2025-05-12"/>
    <x v="1"/>
    <n v="837"/>
    <n v="430"/>
    <n v="364820"/>
    <n v="4"/>
    <n v="49400"/>
    <n v="407"/>
    <s v="No Campaign"/>
    <n v="1.1156186612576065E-3"/>
  </r>
  <r>
    <s v="2025-05-12"/>
    <x v="2"/>
    <n v="337"/>
    <n v="68"/>
    <n v="456298"/>
    <n v="7.57"/>
    <n v="4007"/>
    <n v="269"/>
    <s v="No Campaign"/>
    <n v="5.8952701962314107E-4"/>
  </r>
  <r>
    <s v="2025-05-12"/>
    <x v="3"/>
    <n v="119"/>
    <n v="456"/>
    <n v="82558"/>
    <n v="6.81"/>
    <n v="12174"/>
    <n v="-337"/>
    <s v="No Campaign"/>
    <n v="-4.0819787301048958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9864CB-417B-4E15-835C-F6A9247B8193}" name="PivotTable4" cacheId="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A1:B6" firstHeaderRow="1" firstDataRow="1" firstDataCol="1"/>
  <pivotFields count="17">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dataField="1" compact="0" numFmtId="1" outline="0" showAll="0"/>
    <pivotField compact="0" outline="0" showAll="0"/>
  </pivotFields>
  <rowFields count="1">
    <field x="1"/>
  </rowFields>
  <rowItems count="5">
    <i>
      <x/>
    </i>
    <i>
      <x v="1"/>
    </i>
    <i>
      <x v="2"/>
    </i>
    <i>
      <x v="3"/>
    </i>
    <i t="grand">
      <x/>
    </i>
  </rowItems>
  <colItems count="1">
    <i/>
  </colItems>
  <dataFields count="1">
    <dataField name="Average of Engagement Rate" fld="15" subtotal="average" baseField="0" baseItem="0" numFmtId="1"/>
  </dataFields>
  <formats count="13">
    <format dxfId="168">
      <pivotArea outline="0" fieldPosition="0">
        <references count="1">
          <reference field="1" count="0" selected="0"/>
        </references>
      </pivotArea>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outline="0" fieldPosition="0">
        <references count="1">
          <reference field="1" count="0"/>
        </references>
      </pivotArea>
    </format>
    <format dxfId="35">
      <pivotArea dataOnly="0" labelOnly="1" grandRow="1" outline="0" fieldPosition="0"/>
    </format>
    <format dxfId="34">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outline="0" fieldPosition="0">
        <references count="1">
          <reference field="1" count="0"/>
        </references>
      </pivotArea>
    </format>
    <format dxfId="15">
      <pivotArea dataOnly="0" labelOnly="1" grandRow="1" outline="0" fieldPosition="0"/>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53AAB-E4FB-42C8-B20F-859C1D48B83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65:B73" firstHeaderRow="1" firstDataRow="1" firstDataCol="1"/>
  <pivotFields count="2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outline="0" showAll="0"/>
    <pivotField compact="0" outline="0" showAll="0"/>
    <pivotField compact="0" outline="0" showAll="0"/>
    <pivotField compact="0" outline="0" showAll="0"/>
    <pivotField compact="0" numFmtId="9" outline="0" showAll="0"/>
    <pivotField axis="axisRow" compact="0" outline="0" showAll="0">
      <items count="8">
        <item x="4"/>
        <item x="3"/>
        <item x="1"/>
        <item x="2"/>
        <item x="5"/>
        <item x="0"/>
        <item x="6"/>
        <item t="default"/>
      </items>
    </pivotField>
    <pivotField compact="0" outline="0" showAll="0"/>
    <pivotField compact="0" outline="0" showAll="0"/>
    <pivotField compact="0" outline="0" showAll="0"/>
    <pivotField compact="0" outline="0" showAll="0"/>
  </pivotFields>
  <rowFields count="1">
    <field x="16"/>
  </rowFields>
  <rowItems count="8">
    <i>
      <x/>
    </i>
    <i>
      <x v="1"/>
    </i>
    <i>
      <x v="2"/>
    </i>
    <i>
      <x v="3"/>
    </i>
    <i>
      <x v="4"/>
    </i>
    <i>
      <x v="5"/>
    </i>
    <i>
      <x v="6"/>
    </i>
    <i t="grand">
      <x/>
    </i>
  </rowItems>
  <colItems count="1">
    <i/>
  </colItems>
  <dataFields count="1">
    <dataField name="Average of Clicks" fld="10" subtotal="average" baseField="0" baseItem="0" numFmtId="1"/>
  </dataFields>
  <formats count="12">
    <format dxfId="32">
      <pivotArea type="all" dataOnly="0" outline="0" fieldPosition="0"/>
    </format>
    <format dxfId="31">
      <pivotArea outline="0" collapsedLevelsAreSubtotals="1" fieldPosition="0"/>
    </format>
    <format dxfId="30">
      <pivotArea field="16" type="button" dataOnly="0" labelOnly="1" outline="0" axis="axisRow" fieldPosition="0"/>
    </format>
    <format dxfId="29">
      <pivotArea dataOnly="0" labelOnly="1" outline="0" fieldPosition="0">
        <references count="1">
          <reference field="16" count="0"/>
        </references>
      </pivotArea>
    </format>
    <format dxfId="28">
      <pivotArea dataOnly="0" labelOnly="1" grandRow="1" outline="0" fieldPosition="0"/>
    </format>
    <format dxfId="27">
      <pivotArea dataOnly="0" labelOnly="1" outline="0" axis="axisValues" fieldPosition="0"/>
    </format>
    <format dxfId="12">
      <pivotArea type="all" dataOnly="0" outline="0" fieldPosition="0"/>
    </format>
    <format dxfId="11">
      <pivotArea outline="0" collapsedLevelsAreSubtotals="1" fieldPosition="0"/>
    </format>
    <format dxfId="10">
      <pivotArea field="16" type="button" dataOnly="0" labelOnly="1" outline="0" axis="axisRow" fieldPosition="0"/>
    </format>
    <format dxfId="9">
      <pivotArea dataOnly="0" labelOnly="1" outline="0" fieldPosition="0">
        <references count="1">
          <reference field="16" count="0"/>
        </references>
      </pivotArea>
    </format>
    <format dxfId="8">
      <pivotArea dataOnly="0" labelOnly="1" grandRow="1" outline="0" fieldPosition="0"/>
    </format>
    <format dxfId="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 chart="0" format="7">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7FBA86-E983-48A3-89D6-A9B9930FEABA}"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3:D50" firstHeaderRow="0" firstDataRow="1" firstDataCol="1"/>
  <pivotFields count="17">
    <pivotField compact="0" outline="0" showAll="0"/>
    <pivotField compact="0" outline="0" showAll="0">
      <items count="5">
        <item h="1" x="3"/>
        <item h="1" x="0"/>
        <item h="1" x="1"/>
        <item x="2"/>
        <item t="default"/>
      </items>
    </pivotField>
    <pivotField compact="0" outline="0" showAll="0"/>
    <pivotField axis="axisRow" compact="0" outline="0" showAll="0">
      <items count="7">
        <item x="3"/>
        <item x="4"/>
        <item x="1"/>
        <item x="0"/>
        <item x="5"/>
        <item x="2"/>
        <item t="default"/>
      </items>
    </pivotField>
    <pivotField compact="0" outline="0" showAll="0"/>
    <pivotField dataField="1" compact="0" numFmtId="1" outline="0" showAll="0"/>
    <pivotField dataField="1" compact="0" numFmtId="1" outline="0" showAll="0"/>
    <pivotField dataField="1"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numFmtId="1" outline="0" showAll="0"/>
    <pivotField compact="0" outline="0" showAll="0"/>
  </pivotFields>
  <rowFields count="1">
    <field x="3"/>
  </rowFields>
  <rowItems count="7">
    <i>
      <x/>
    </i>
    <i>
      <x v="1"/>
    </i>
    <i>
      <x v="2"/>
    </i>
    <i>
      <x v="3"/>
    </i>
    <i>
      <x v="4"/>
    </i>
    <i>
      <x v="5"/>
    </i>
    <i t="grand">
      <x/>
    </i>
  </rowItems>
  <colFields count="1">
    <field x="-2"/>
  </colFields>
  <colItems count="3">
    <i>
      <x/>
    </i>
    <i i="1">
      <x v="1"/>
    </i>
    <i i="2">
      <x v="2"/>
    </i>
  </colItems>
  <dataFields count="3">
    <dataField name="Sum of Likes" fld="5" baseField="0" baseItem="0" numFmtId="1"/>
    <dataField name="Sum of Shares" fld="6" baseField="0" baseItem="0" numFmtId="1"/>
    <dataField name="Sum of Comments" fld="7" baseField="0" baseItem="0" numFmtId="1"/>
  </dataFields>
  <formats count="12">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outline="0" fieldPosition="0">
        <references count="1">
          <reference field="3" count="0"/>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outline="0" fieldPosition="0">
        <references count="1">
          <reference field="3"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1"/>
          </reference>
          <reference field="3" count="1" selected="0">
            <x v="0"/>
          </reference>
        </references>
      </pivotArea>
    </chartFormat>
    <chartFormat chart="0" format="10">
      <pivotArea type="data" outline="0" fieldPosition="0">
        <references count="2">
          <reference field="4294967294" count="1" selected="0">
            <x v="1"/>
          </reference>
          <reference field="3" count="1" selected="0">
            <x v="1"/>
          </reference>
        </references>
      </pivotArea>
    </chartFormat>
    <chartFormat chart="0" format="11">
      <pivotArea type="data" outline="0" fieldPosition="0">
        <references count="2">
          <reference field="4294967294" count="1" selected="0">
            <x v="1"/>
          </reference>
          <reference field="3" count="1" selected="0">
            <x v="2"/>
          </reference>
        </references>
      </pivotArea>
    </chartFormat>
    <chartFormat chart="0" format="12">
      <pivotArea type="data" outline="0" fieldPosition="0">
        <references count="2">
          <reference field="4294967294" count="1" selected="0">
            <x v="1"/>
          </reference>
          <reference field="3" count="1" selected="0">
            <x v="3"/>
          </reference>
        </references>
      </pivotArea>
    </chartFormat>
    <chartFormat chart="0" format="13">
      <pivotArea type="data" outline="0" fieldPosition="0">
        <references count="2">
          <reference field="4294967294" count="1" selected="0">
            <x v="1"/>
          </reference>
          <reference field="3" count="1" selected="0">
            <x v="4"/>
          </reference>
        </references>
      </pivotArea>
    </chartFormat>
    <chartFormat chart="0" format="14">
      <pivotArea type="data" outline="0" fieldPosition="0">
        <references count="2">
          <reference field="4294967294" count="1" selected="0">
            <x v="1"/>
          </reference>
          <reference field="3" count="1" selected="0">
            <x v="5"/>
          </reference>
        </references>
      </pivotArea>
    </chartFormat>
    <chartFormat chart="0" format="15">
      <pivotArea type="data" outline="0" fieldPosition="0">
        <references count="2">
          <reference field="4294967294" count="1" selected="0">
            <x v="2"/>
          </reference>
          <reference field="3" count="1" selected="0">
            <x v="0"/>
          </reference>
        </references>
      </pivotArea>
    </chartFormat>
    <chartFormat chart="0" format="16">
      <pivotArea type="data" outline="0" fieldPosition="0">
        <references count="2">
          <reference field="4294967294" count="1" selected="0">
            <x v="2"/>
          </reference>
          <reference field="3" count="1" selected="0">
            <x v="1"/>
          </reference>
        </references>
      </pivotArea>
    </chartFormat>
    <chartFormat chart="0" format="17">
      <pivotArea type="data" outline="0" fieldPosition="0">
        <references count="2">
          <reference field="4294967294" count="1" selected="0">
            <x v="2"/>
          </reference>
          <reference field="3" count="1" selected="0">
            <x v="2"/>
          </reference>
        </references>
      </pivotArea>
    </chartFormat>
    <chartFormat chart="0" format="18">
      <pivotArea type="data" outline="0" fieldPosition="0">
        <references count="2">
          <reference field="4294967294" count="1" selected="0">
            <x v="2"/>
          </reference>
          <reference field="3" count="1" selected="0">
            <x v="3"/>
          </reference>
        </references>
      </pivotArea>
    </chartFormat>
    <chartFormat chart="0" format="19">
      <pivotArea type="data" outline="0" fieldPosition="0">
        <references count="2">
          <reference field="4294967294" count="1" selected="0">
            <x v="2"/>
          </reference>
          <reference field="3" count="1" selected="0">
            <x v="4"/>
          </reference>
        </references>
      </pivotArea>
    </chartFormat>
    <chartFormat chart="0" format="20">
      <pivotArea type="data" outline="0" fieldPosition="0">
        <references count="2">
          <reference field="4294967294" count="1" selected="0">
            <x v="2"/>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62786-DD83-4C0B-B1A6-3E60557F29B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8" firstHeaderRow="1" firstDataRow="1" firstDataCol="1"/>
  <pivotFields count="21">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pivotField compact="0" outline="0" showAll="0"/>
    <pivotField compact="0" outline="0" showAll="0"/>
  </pivotFields>
  <rowFields count="1">
    <field x="1"/>
  </rowFields>
  <rowItems count="5">
    <i>
      <x/>
    </i>
    <i>
      <x v="1"/>
    </i>
    <i>
      <x v="2"/>
    </i>
    <i>
      <x v="3"/>
    </i>
    <i t="grand">
      <x/>
    </i>
  </rowItems>
  <colItems count="1">
    <i/>
  </colItems>
  <dataFields count="1">
    <dataField name="Average of Engagement Rate" fld="15" subtotal="average" baseField="0" baseItem="0" numFmtId="9"/>
  </dataFields>
  <formats count="14">
    <format dxfId="155">
      <pivotArea grandRow="1" outline="0" collapsedLevelsAreSubtotals="1" fieldPosition="0"/>
    </format>
    <format dxfId="154">
      <pivotArea outline="0" fieldPosition="0">
        <references count="1">
          <reference field="1" count="0" selected="0"/>
        </references>
      </pivotArea>
    </format>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outline="0" fieldPosition="0">
        <references count="1">
          <reference field="1"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outline="0" fieldPosition="0">
        <references count="1">
          <reference field="1" count="0"/>
        </references>
      </pivotArea>
    </format>
    <format dxfId="143">
      <pivotArea dataOnly="0" labelOnly="1" grandRow="1" outline="0" fieldPosition="0"/>
    </format>
    <format dxfId="142">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E538DA-C916-4E72-B6D4-8E4CDC750B67}"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5:B30" firstHeaderRow="1" firstDataRow="1" firstDataCol="1"/>
  <pivotFields count="10">
    <pivotField compact="0" outline="0" showAll="0"/>
    <pivotField axis="axisRow" compact="0" outline="0" showAll="0">
      <items count="5">
        <item x="1"/>
        <item x="0"/>
        <item x="2"/>
        <item x="3"/>
        <item t="default"/>
      </items>
    </pivotField>
    <pivotField compact="0" numFmtId="1" outline="0" showAll="0"/>
    <pivotField compact="0" numFmtId="1" outline="0" showAll="0"/>
    <pivotField compact="0" numFmtId="1" outline="0" showAll="0"/>
    <pivotField compact="0" numFmtId="164" outline="0" showAll="0"/>
    <pivotField compact="0" numFmtId="1" outline="0" showAll="0"/>
    <pivotField dataField="1" compact="0" numFmtId="1" outline="0" showAll="0"/>
    <pivotField compact="0" outline="0" showAll="0"/>
    <pivotField compact="0" numFmtId="10" outline="0" showAll="0"/>
  </pivotFields>
  <rowFields count="1">
    <field x="1"/>
  </rowFields>
  <rowItems count="5">
    <i>
      <x/>
    </i>
    <i>
      <x v="1"/>
    </i>
    <i>
      <x v="2"/>
    </i>
    <i>
      <x v="3"/>
    </i>
    <i t="grand">
      <x/>
    </i>
  </rowItems>
  <colItems count="1">
    <i/>
  </colItems>
  <dataFields count="1">
    <dataField name="Average of Net_Growth" fld="7" subtotal="average" baseField="0" baseItem="0" numFmtId="1"/>
  </dataFields>
  <formats count="12">
    <format dxfId="167">
      <pivotArea type="all" dataOnly="0" outline="0" fieldPosition="0"/>
    </format>
    <format dxfId="166">
      <pivotArea outline="0" collapsedLevelsAreSubtotals="1" fieldPosition="0"/>
    </format>
    <format dxfId="165">
      <pivotArea field="1" type="button" dataOnly="0" labelOnly="1" outline="0" axis="axisRow" fieldPosition="0"/>
    </format>
    <format dxfId="164">
      <pivotArea dataOnly="0" labelOnly="1" outline="0" fieldPosition="0">
        <references count="1">
          <reference field="1" count="0"/>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1" type="button" dataOnly="0" labelOnly="1" outline="0" axis="axisRow" fieldPosition="0"/>
    </format>
    <format dxfId="158">
      <pivotArea dataOnly="0" labelOnly="1" outline="0" fieldPosition="0">
        <references count="1">
          <reference field="1" count="0"/>
        </references>
      </pivotArea>
    </format>
    <format dxfId="157">
      <pivotArea dataOnly="0" labelOnly="1" grandRow="1" outline="0" fieldPosition="0"/>
    </format>
    <format dxfId="156">
      <pivotArea dataOnly="0" labelOnly="1" outline="0" axis="axisValues" fieldPosition="0"/>
    </format>
  </formats>
  <chartFormats count="5">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 count="1" selected="0">
            <x v="0"/>
          </reference>
        </references>
      </pivotArea>
    </chartFormat>
    <chartFormat chart="0" format="12">
      <pivotArea type="data" outline="0" fieldPosition="0">
        <references count="2">
          <reference field="4294967294" count="1" selected="0">
            <x v="0"/>
          </reference>
          <reference field="1" count="1" selected="0">
            <x v="1"/>
          </reference>
        </references>
      </pivotArea>
    </chartFormat>
    <chartFormat chart="0" format="13">
      <pivotArea type="data" outline="0" fieldPosition="0">
        <references count="2">
          <reference field="4294967294" count="1" selected="0">
            <x v="0"/>
          </reference>
          <reference field="1" count="1" selected="0">
            <x v="3"/>
          </reference>
        </references>
      </pivotArea>
    </chartFormat>
    <chartFormat chart="0" format="1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E3FC21-B2C4-4CC2-989E-16D16E79CA31}"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11" firstHeaderRow="1" firstDataRow="1" firstDataCol="1"/>
  <pivotFields count="18">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compact="0" outline="0" showAll="0"/>
    <pivotField compact="0" numFmtId="1" outline="0" showAll="0"/>
    <pivotField axis="axisRow" compact="0" outline="0" showAll="0" sortType="descending">
      <items count="8">
        <item x="4"/>
        <item x="3"/>
        <item x="1"/>
        <item x="2"/>
        <item x="5"/>
        <item x="0"/>
        <item x="6"/>
        <item t="default"/>
      </items>
      <autoSortScope>
        <pivotArea dataOnly="0" outline="0" fieldPosition="0">
          <references count="1">
            <reference field="4294967294" count="1" selected="0">
              <x v="0"/>
            </reference>
          </references>
        </pivotArea>
      </autoSortScope>
    </pivotField>
    <pivotField dataField="1" compact="0" outline="0" showAll="0"/>
  </pivotFields>
  <rowFields count="1">
    <field x="16"/>
  </rowFields>
  <rowItems count="8">
    <i>
      <x v="5"/>
    </i>
    <i>
      <x v="3"/>
    </i>
    <i>
      <x v="2"/>
    </i>
    <i>
      <x/>
    </i>
    <i>
      <x v="1"/>
    </i>
    <i>
      <x v="4"/>
    </i>
    <i>
      <x v="6"/>
    </i>
    <i t="grand">
      <x/>
    </i>
  </rowItems>
  <colItems count="1">
    <i/>
  </colItems>
  <dataFields count="1">
    <dataField name="Sum of Hashtag uses count" fld="17" baseField="0" baseItem="0"/>
  </dataFields>
  <formats count="12">
    <format dxfId="127">
      <pivotArea type="all" dataOnly="0" outline="0" fieldPosition="0"/>
    </format>
    <format dxfId="126">
      <pivotArea outline="0" collapsedLevelsAreSubtotals="1" fieldPosition="0"/>
    </format>
    <format dxfId="125">
      <pivotArea field="16" type="button" dataOnly="0" labelOnly="1" outline="0" axis="axisRow" fieldPosition="0"/>
    </format>
    <format dxfId="124">
      <pivotArea dataOnly="0" labelOnly="1" outline="0" fieldPosition="0">
        <references count="1">
          <reference field="16"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6" type="button" dataOnly="0" labelOnly="1" outline="0" axis="axisRow" fieldPosition="0"/>
    </format>
    <format dxfId="118">
      <pivotArea dataOnly="0" labelOnly="1" outline="0" fieldPosition="0">
        <references count="1">
          <reference field="16" count="0"/>
        </references>
      </pivotArea>
    </format>
    <format dxfId="117">
      <pivotArea dataOnly="0" labelOnly="1" grandRow="1" outline="0" fieldPosition="0"/>
    </format>
    <format dxfId="11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6" count="1" selected="0">
            <x v="2"/>
          </reference>
        </references>
      </pivotArea>
    </chartFormat>
    <chartFormat chart="0" format="9">
      <pivotArea type="data" outline="0" fieldPosition="0">
        <references count="2">
          <reference field="4294967294" count="1" selected="0">
            <x v="0"/>
          </reference>
          <reference field="16" count="1" selected="0">
            <x v="3"/>
          </reference>
        </references>
      </pivotArea>
    </chartFormat>
    <chartFormat chart="0" format="10">
      <pivotArea type="data" outline="0" fieldPosition="0">
        <references count="2">
          <reference field="4294967294" count="1" selected="0">
            <x v="0"/>
          </reference>
          <reference field="16" count="1" selected="0">
            <x v="5"/>
          </reference>
        </references>
      </pivotArea>
    </chartFormat>
    <chartFormat chart="0" format="11">
      <pivotArea type="data" outline="0" fieldPosition="0">
        <references count="2">
          <reference field="4294967294" count="1" selected="0">
            <x v="0"/>
          </reference>
          <reference field="16" count="1" selected="0">
            <x v="4"/>
          </reference>
        </references>
      </pivotArea>
    </chartFormat>
    <chartFormat chart="0" format="12">
      <pivotArea type="data" outline="0" fieldPosition="0">
        <references count="2">
          <reference field="4294967294" count="1" selected="0">
            <x v="0"/>
          </reference>
          <reference field="16" count="1" selected="0">
            <x v="1"/>
          </reference>
        </references>
      </pivotArea>
    </chartFormat>
    <chartFormat chart="0" format="13">
      <pivotArea type="data" outline="0" fieldPosition="0">
        <references count="2">
          <reference field="4294967294" count="1" selected="0">
            <x v="0"/>
          </reference>
          <reference field="16" count="1" selected="0">
            <x v="0"/>
          </reference>
        </references>
      </pivotArea>
    </chartFormat>
    <chartFormat chart="0" format="14">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C9F6E0-EF3E-4484-951A-4CD8A8A2DFDC}"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6:F53" firstHeaderRow="0" firstDataRow="1" firstDataCol="1"/>
  <pivotFields count="18">
    <pivotField compact="0" outline="0" showAll="0"/>
    <pivotField compact="0" outline="0" showAll="0"/>
    <pivotField compact="0" outline="0" showAll="0"/>
    <pivotField axis="axisRow" compact="0" outline="0" showAll="0" sortType="descending">
      <items count="7">
        <item x="3"/>
        <item x="4"/>
        <item x="1"/>
        <item x="0"/>
        <item x="5"/>
        <item x="2"/>
        <item t="default"/>
      </items>
      <autoSortScope>
        <pivotArea dataOnly="0" outline="0" fieldPosition="0">
          <references count="1">
            <reference field="4294967294" count="1" selected="0">
              <x v="4"/>
            </reference>
          </references>
        </pivotArea>
      </autoSortScope>
    </pivotField>
    <pivotField compact="0" outline="0" showAll="0"/>
    <pivotField dataField="1" compact="0" numFmtId="1" outline="0" showAll="0"/>
    <pivotField dataField="1" compact="0" numFmtId="1" outline="0" showAll="0"/>
    <pivotField dataField="1" compact="0" numFmtId="1" outline="0" showAll="0"/>
    <pivotField compact="0" numFmtId="1" outline="0" showAll="0"/>
    <pivotField compact="0" numFmtId="1" outline="0" showAll="0"/>
    <pivotField dataField="1" compact="0" numFmtId="1" outline="0" showAll="0"/>
    <pivotField compact="0" outline="0" showAll="0"/>
    <pivotField compact="0" outline="0" showAll="0"/>
    <pivotField compact="0" outline="0" showAll="0"/>
    <pivotField compact="0" outline="0" showAll="0"/>
    <pivotField dataField="1" compact="0" numFmtId="1" outline="0" showAll="0"/>
    <pivotField compact="0" outline="0" showAll="0"/>
    <pivotField compact="0" outline="0" showAll="0"/>
  </pivotFields>
  <rowFields count="1">
    <field x="3"/>
  </rowFields>
  <rowItems count="7">
    <i>
      <x v="3"/>
    </i>
    <i>
      <x v="2"/>
    </i>
    <i>
      <x/>
    </i>
    <i>
      <x v="5"/>
    </i>
    <i>
      <x v="1"/>
    </i>
    <i>
      <x v="4"/>
    </i>
    <i t="grand">
      <x/>
    </i>
  </rowItems>
  <colFields count="1">
    <field x="-2"/>
  </colFields>
  <colItems count="5">
    <i>
      <x/>
    </i>
    <i i="1">
      <x v="1"/>
    </i>
    <i i="2">
      <x v="2"/>
    </i>
    <i i="3">
      <x v="3"/>
    </i>
    <i i="4">
      <x v="4"/>
    </i>
  </colItems>
  <dataFields count="5">
    <dataField name="Average of Likes" fld="5" subtotal="average" baseField="0" baseItem="0" numFmtId="1"/>
    <dataField name="Average of Shares" fld="6" subtotal="average" baseField="0" baseItem="0" numFmtId="1"/>
    <dataField name="Average of Comments" fld="7" subtotal="average" baseField="0" baseItem="0" numFmtId="1"/>
    <dataField name="Average of Clicks" fld="10" subtotal="average" baseField="0" baseItem="0" numFmtId="1"/>
    <dataField name="Average of Engagement Rate" fld="15" subtotal="average" baseField="0" baseItem="0" numFmtId="1"/>
  </dataFields>
  <formats count="14">
    <format dxfId="141">
      <pivotArea outline="0" fieldPosition="0">
        <references count="2">
          <reference field="4294967294" count="1" selected="0">
            <x v="4"/>
          </reference>
          <reference field="3" count="0" selected="0"/>
        </references>
      </pivotArea>
    </format>
    <format dxfId="140">
      <pivotArea field="3" grandRow="1" outline="0" axis="axisRow" fieldPosition="0">
        <references count="1">
          <reference field="4294967294" count="1" selected="0">
            <x v="4"/>
          </reference>
        </references>
      </pivotArea>
    </format>
    <format dxfId="139">
      <pivotArea type="all" dataOnly="0" outline="0" fieldPosition="0"/>
    </format>
    <format dxfId="138">
      <pivotArea outline="0" collapsedLevelsAreSubtotals="1" fieldPosition="0"/>
    </format>
    <format dxfId="137">
      <pivotArea field="3" type="button" dataOnly="0" labelOnly="1" outline="0" axis="axisRow" fieldPosition="0"/>
    </format>
    <format dxfId="136">
      <pivotArea dataOnly="0" labelOnly="1" outline="0" fieldPosition="0">
        <references count="1">
          <reference field="3" count="0"/>
        </references>
      </pivotArea>
    </format>
    <format dxfId="135">
      <pivotArea dataOnly="0" labelOnly="1" grandRow="1" outline="0" fieldPosition="0"/>
    </format>
    <format dxfId="134">
      <pivotArea dataOnly="0" labelOnly="1" outline="0" fieldPosition="0">
        <references count="1">
          <reference field="4294967294" count="5">
            <x v="0"/>
            <x v="1"/>
            <x v="2"/>
            <x v="3"/>
            <x v="4"/>
          </reference>
        </references>
      </pivotArea>
    </format>
    <format dxfId="133">
      <pivotArea type="all" dataOnly="0" outline="0" fieldPosition="0"/>
    </format>
    <format dxfId="132">
      <pivotArea outline="0" collapsedLevelsAreSubtotals="1" fieldPosition="0"/>
    </format>
    <format dxfId="131">
      <pivotArea field="3" type="button" dataOnly="0" labelOnly="1" outline="0" axis="axisRow" fieldPosition="0"/>
    </format>
    <format dxfId="130">
      <pivotArea dataOnly="0" labelOnly="1" outline="0" fieldPosition="0">
        <references count="1">
          <reference field="3" count="0"/>
        </references>
      </pivotArea>
    </format>
    <format dxfId="129">
      <pivotArea dataOnly="0" labelOnly="1" grandRow="1" outline="0" fieldPosition="0"/>
    </format>
    <format dxfId="128">
      <pivotArea dataOnly="0" labelOnly="1" outline="0" fieldPosition="0">
        <references count="1">
          <reference field="4294967294" count="5">
            <x v="0"/>
            <x v="1"/>
            <x v="2"/>
            <x v="3"/>
            <x v="4"/>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pivotArea type="data" outline="0" fieldPosition="0">
        <references count="2">
          <reference field="4294967294" count="1" selected="0">
            <x v="4"/>
          </reference>
          <reference field="3" count="1" selected="0">
            <x v="3"/>
          </reference>
        </references>
      </pivotArea>
    </chartFormat>
    <chartFormat chart="0" format="6">
      <pivotArea type="data" outline="0" fieldPosition="0">
        <references count="2">
          <reference field="4294967294" count="1" selected="0">
            <x v="4"/>
          </reference>
          <reference field="3" count="1" selected="0">
            <x v="2"/>
          </reference>
        </references>
      </pivotArea>
    </chartFormat>
    <chartFormat chart="0" format="7">
      <pivotArea type="data" outline="0" fieldPosition="0">
        <references count="2">
          <reference field="4294967294" count="1" selected="0">
            <x v="4"/>
          </reference>
          <reference field="3" count="1" selected="0">
            <x v="0"/>
          </reference>
        </references>
      </pivotArea>
    </chartFormat>
    <chartFormat chart="0" format="8">
      <pivotArea type="data" outline="0" fieldPosition="0">
        <references count="2">
          <reference field="4294967294" count="1" selected="0">
            <x v="4"/>
          </reference>
          <reference field="3" count="1" selected="0">
            <x v="5"/>
          </reference>
        </references>
      </pivotArea>
    </chartFormat>
    <chartFormat chart="0" format="9">
      <pivotArea type="data" outline="0" fieldPosition="0">
        <references count="2">
          <reference field="4294967294" count="1" selected="0">
            <x v="4"/>
          </reference>
          <reference field="3" count="1" selected="0">
            <x v="1"/>
          </reference>
        </references>
      </pivotArea>
    </chartFormat>
    <chartFormat chart="0" format="10">
      <pivotArea type="data" outline="0" fieldPosition="0">
        <references count="2">
          <reference field="4294967294"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20ED3-00CA-498A-B576-FEBF95609D23}"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75:B81" firstHeaderRow="1" firstDataRow="1" firstDataCol="1"/>
  <pivotFields count="9">
    <pivotField compact="0" outline="0" showAll="0"/>
    <pivotField compact="0" outline="0" showAll="0"/>
    <pivotField compact="0" numFmtId="1" outline="0" showAll="0"/>
    <pivotField compact="0" numFmtId="1" outline="0" showAll="0"/>
    <pivotField compact="0" numFmtId="1" outline="0" showAll="0"/>
    <pivotField compact="0" numFmtId="164" outline="0" showAll="0"/>
    <pivotField compact="0" numFmtId="1" outline="0" showAll="0"/>
    <pivotField dataField="1" compact="0" numFmtId="1" outline="0" showAll="0"/>
    <pivotField axis="axisRow" compact="0" outline="0" showAll="0" sortType="ascending">
      <items count="7">
        <item x="4"/>
        <item x="0"/>
        <item x="2"/>
        <item x="3"/>
        <item x="1"/>
        <item m="1" x="5"/>
        <item t="default"/>
      </items>
      <autoSortScope>
        <pivotArea dataOnly="0" outline="0" fieldPosition="0">
          <references count="1">
            <reference field="4294967294" count="1" selected="0">
              <x v="0"/>
            </reference>
          </references>
        </pivotArea>
      </autoSortScope>
    </pivotField>
  </pivotFields>
  <rowFields count="1">
    <field x="8"/>
  </rowFields>
  <rowItems count="6">
    <i>
      <x v="3"/>
    </i>
    <i>
      <x v="2"/>
    </i>
    <i>
      <x v="4"/>
    </i>
    <i>
      <x/>
    </i>
    <i>
      <x v="1"/>
    </i>
    <i t="grand">
      <x/>
    </i>
  </rowItems>
  <colItems count="1">
    <i/>
  </colItems>
  <dataFields count="1">
    <dataField name="Sum of Net_Growth" fld="7" baseField="0" baseItem="0" numFmtId="1"/>
  </dataFields>
  <formats count="12">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outline="0" fieldPosition="0">
        <references count="1">
          <reference field="8"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8" type="button" dataOnly="0" labelOnly="1" outline="0" axis="axisRow" fieldPosition="0"/>
    </format>
    <format dxfId="62">
      <pivotArea dataOnly="0" labelOnly="1" outline="0" fieldPosition="0">
        <references count="1">
          <reference field="8" count="0"/>
        </references>
      </pivotArea>
    </format>
    <format dxfId="61">
      <pivotArea dataOnly="0" labelOnly="1" grandRow="1" outline="0" fieldPosition="0"/>
    </format>
    <format dxfId="6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32E320-E47A-49D7-B447-C3F753A47AC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53:D59" firstHeaderRow="0" firstDataRow="1" firstDataCol="1"/>
  <pivotFields count="21">
    <pivotField compact="0" outline="0" showAll="0"/>
    <pivotField compact="0" outline="0" showAll="0"/>
    <pivotField compact="0" outline="0" showAll="0"/>
    <pivotField compact="0" outline="0" showAll="0"/>
    <pivotField compact="0" outline="0" showAll="0"/>
    <pivotField dataField="1" compact="0" numFmtId="1" outline="0" showAll="0"/>
    <pivotField dataField="1" compact="0" numFmtId="1" outline="0" showAll="0"/>
    <pivotField dataField="1"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axis="axisRow" compact="0" outline="0" showAll="0">
      <items count="6">
        <item x="4"/>
        <item x="2"/>
        <item x="3"/>
        <item x="1"/>
        <item x="0"/>
        <item t="default"/>
      </items>
    </pivotField>
    <pivotField compact="0" numFmtId="1" outline="0" showAll="0"/>
    <pivotField compact="0" outline="0" showAll="0"/>
    <pivotField compact="0" outline="0" showAll="0"/>
    <pivotField compact="0" outline="0" showAll="0"/>
    <pivotField compact="0" outline="0" showAll="0"/>
    <pivotField compact="0" outline="0" showAll="0"/>
  </pivotFields>
  <rowFields count="1">
    <field x="14"/>
  </rowFields>
  <rowItems count="6">
    <i>
      <x/>
    </i>
    <i>
      <x v="1"/>
    </i>
    <i>
      <x v="2"/>
    </i>
    <i>
      <x v="3"/>
    </i>
    <i>
      <x v="4"/>
    </i>
    <i t="grand">
      <x/>
    </i>
  </rowItems>
  <colFields count="1">
    <field x="-2"/>
  </colFields>
  <colItems count="3">
    <i>
      <x/>
    </i>
    <i i="1">
      <x v="1"/>
    </i>
    <i i="2">
      <x v="2"/>
    </i>
  </colItems>
  <dataFields count="3">
    <dataField name="Sum of Likes" fld="5" baseField="0" baseItem="0" numFmtId="1"/>
    <dataField name="Sum of Shares" fld="6" baseField="0" baseItem="0" numFmtId="1"/>
    <dataField name="Sum of Comments" fld="7" baseField="0" baseItem="0" numFmtId="1"/>
  </dataFields>
  <formats count="11">
    <format dxfId="82">
      <pivotArea type="all" dataOnly="0" outline="0" fieldPosition="0"/>
    </format>
    <format dxfId="81">
      <pivotArea outline="0" collapsedLevelsAreSubtotals="1" fieldPosition="0"/>
    </format>
    <format dxfId="80">
      <pivotArea field="14" type="button" dataOnly="0" labelOnly="1" outline="0" axis="axisRow" fieldPosition="0"/>
    </format>
    <format dxfId="79">
      <pivotArea dataOnly="0" labelOnly="1" grandRow="1" outline="0" fieldPosition="0"/>
    </format>
    <format dxfId="78">
      <pivotArea dataOnly="0" labelOnly="1" outline="0" fieldPosition="0">
        <references count="1">
          <reference field="4294967294" count="3">
            <x v="0"/>
            <x v="1"/>
            <x v="2"/>
          </reference>
        </references>
      </pivotArea>
    </format>
    <format dxfId="77">
      <pivotArea type="all" dataOnly="0" outline="0" fieldPosition="0"/>
    </format>
    <format dxfId="76">
      <pivotArea outline="0" collapsedLevelsAreSubtotals="1" fieldPosition="0"/>
    </format>
    <format dxfId="75">
      <pivotArea field="14" type="button" dataOnly="0" labelOnly="1" outline="0" axis="axisRow" fieldPosition="0"/>
    </format>
    <format dxfId="74">
      <pivotArea dataOnly="0" labelOnly="1" outline="0" fieldPosition="0">
        <references count="1">
          <reference field="14" count="0"/>
        </references>
      </pivotArea>
    </format>
    <format dxfId="73">
      <pivotArea dataOnly="0" labelOnly="1" grandRow="1" outline="0" fieldPosition="0"/>
    </format>
    <format dxfId="7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E90C10-4754-495E-8BDC-543148C150C2}"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G9" firstHeaderRow="0" firstDataRow="1" firstDataCol="1"/>
  <pivotFields count="18">
    <pivotField compact="0" outline="0" showAll="0"/>
    <pivotField compact="0" outline="0" showAll="0"/>
    <pivotField compact="0" outline="0" showAll="0"/>
    <pivotField compact="0" outline="0" showAll="0"/>
    <pivotField compact="0" outline="0" showAll="0"/>
    <pivotField dataField="1" compact="0" numFmtId="1" outline="0" showAll="0"/>
    <pivotField compact="0" numFmtId="1" outline="0" showAll="0"/>
    <pivotField compact="0" numFmtId="1" outline="0" showAll="0"/>
    <pivotField dataField="1" compact="0" numFmtId="1" outline="0" showAll="0"/>
    <pivotField compact="0" numFmtId="1" outline="0" showAll="0"/>
    <pivotField dataField="1" compact="0" numFmtId="1" outline="0" showAll="0"/>
    <pivotField compact="0" outline="0" showAll="0"/>
    <pivotField compact="0" outline="0" showAll="0"/>
    <pivotField compact="0" outline="0" showAll="0"/>
    <pivotField axis="axisRow" compact="0" outline="0" showAll="0">
      <items count="6">
        <item x="4"/>
        <item x="2"/>
        <item x="3"/>
        <item x="1"/>
        <item x="0"/>
        <item t="default"/>
      </items>
    </pivotField>
    <pivotField compact="0" numFmtId="1" outline="0" showAll="0"/>
    <pivotField compact="0" outline="0" showAll="0"/>
    <pivotField compact="0" outline="0" showAll="0"/>
  </pivotFields>
  <rowFields count="1">
    <field x="14"/>
  </rowFields>
  <rowItems count="6">
    <i>
      <x/>
    </i>
    <i>
      <x v="1"/>
    </i>
    <i>
      <x v="2"/>
    </i>
    <i>
      <x v="3"/>
    </i>
    <i>
      <x v="4"/>
    </i>
    <i t="grand">
      <x/>
    </i>
  </rowItems>
  <colFields count="1">
    <field x="-2"/>
  </colFields>
  <colItems count="6">
    <i>
      <x/>
    </i>
    <i i="1">
      <x v="1"/>
    </i>
    <i i="2">
      <x v="2"/>
    </i>
    <i i="3">
      <x v="3"/>
    </i>
    <i i="4">
      <x v="4"/>
    </i>
    <i i="5">
      <x v="5"/>
    </i>
  </colItems>
  <dataFields count="6">
    <dataField name="Sum of Impressions" fld="8" baseField="0" baseItem="0" numFmtId="1"/>
    <dataField name="Sum of Likes" fld="5" baseField="0" baseItem="0" numFmtId="1"/>
    <dataField name="Sum of Clicks" fld="10" baseField="0" baseItem="0" numFmtId="1"/>
    <dataField name="Avg Impressions" fld="8" subtotal="average" baseField="0" baseItem="0" numFmtId="1"/>
    <dataField name="Avg Likes" fld="5" subtotal="average" baseField="0" baseItem="0" numFmtId="1"/>
    <dataField name="Avg Clicks" fld="10" subtotal="average" baseField="0" baseItem="0" numFmtId="1"/>
  </dataFields>
  <formats count="12">
    <format dxfId="94">
      <pivotArea type="all" dataOnly="0" outline="0" fieldPosition="0"/>
    </format>
    <format dxfId="93">
      <pivotArea outline="0" collapsedLevelsAreSubtotals="1" fieldPosition="0"/>
    </format>
    <format dxfId="92">
      <pivotArea field="14" type="button" dataOnly="0" labelOnly="1" outline="0" axis="axisRow" fieldPosition="0"/>
    </format>
    <format dxfId="91">
      <pivotArea dataOnly="0" labelOnly="1" outline="0" fieldPosition="0">
        <references count="1">
          <reference field="14" count="0"/>
        </references>
      </pivotArea>
    </format>
    <format dxfId="90">
      <pivotArea dataOnly="0" labelOnly="1" grandRow="1" outline="0" fieldPosition="0"/>
    </format>
    <format dxfId="89">
      <pivotArea dataOnly="0" labelOnly="1" outline="0" fieldPosition="0">
        <references count="1">
          <reference field="4294967294" count="6">
            <x v="0"/>
            <x v="1"/>
            <x v="2"/>
            <x v="3"/>
            <x v="4"/>
            <x v="5"/>
          </reference>
        </references>
      </pivotArea>
    </format>
    <format dxfId="88">
      <pivotArea type="all" dataOnly="0" outline="0" fieldPosition="0"/>
    </format>
    <format dxfId="87">
      <pivotArea outline="0" collapsedLevelsAreSubtotals="1" fieldPosition="0"/>
    </format>
    <format dxfId="86">
      <pivotArea field="14" type="button" dataOnly="0" labelOnly="1" outline="0" axis="axisRow" fieldPosition="0"/>
    </format>
    <format dxfId="85">
      <pivotArea dataOnly="0" labelOnly="1" outline="0" fieldPosition="0">
        <references count="1">
          <reference field="14" count="0"/>
        </references>
      </pivotArea>
    </format>
    <format dxfId="84">
      <pivotArea dataOnly="0" labelOnly="1" grandRow="1" outline="0" fieldPosition="0"/>
    </format>
    <format dxfId="83">
      <pivotArea dataOnly="0" labelOnly="1" outline="0" fieldPosition="0">
        <references count="1">
          <reference field="4294967294" count="6">
            <x v="0"/>
            <x v="1"/>
            <x v="2"/>
            <x v="3"/>
            <x v="4"/>
            <x v="5"/>
          </reference>
        </references>
      </pivotArea>
    </format>
  </formats>
  <chartFormats count="1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 chart="3" format="6">
      <pivotArea type="data" outline="0" fieldPosition="0">
        <references count="2">
          <reference field="4294967294" count="1" selected="0">
            <x v="5"/>
          </reference>
          <reference field="14" count="1" selected="0">
            <x v="0"/>
          </reference>
        </references>
      </pivotArea>
    </chartFormat>
    <chartFormat chart="3" format="7">
      <pivotArea type="data" outline="0" fieldPosition="0">
        <references count="2">
          <reference field="4294967294" count="1" selected="0">
            <x v="5"/>
          </reference>
          <reference field="14" count="1" selected="0">
            <x v="1"/>
          </reference>
        </references>
      </pivotArea>
    </chartFormat>
    <chartFormat chart="3" format="8">
      <pivotArea type="data" outline="0" fieldPosition="0">
        <references count="2">
          <reference field="4294967294" count="1" selected="0">
            <x v="5"/>
          </reference>
          <reference field="14" count="1" selected="0">
            <x v="2"/>
          </reference>
        </references>
      </pivotArea>
    </chartFormat>
    <chartFormat chart="3" format="9">
      <pivotArea type="data" outline="0" fieldPosition="0">
        <references count="2">
          <reference field="4294967294" count="1" selected="0">
            <x v="5"/>
          </reference>
          <reference field="14" count="1" selected="0">
            <x v="3"/>
          </reference>
        </references>
      </pivotArea>
    </chartFormat>
    <chartFormat chart="3" format="10">
      <pivotArea type="data" outline="0" fieldPosition="0">
        <references count="2">
          <reference field="4294967294" count="1" selected="0">
            <x v="5"/>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916F65-F1D5-4E3C-9A4C-6C21F51A75D1}"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
  <location ref="A30:E37" firstHeaderRow="1" firstDataRow="2" firstDataCol="1"/>
  <pivotFields count="2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outline="0" showAll="0"/>
    <pivotField compact="0" outline="0" showAll="0"/>
    <pivotField compact="0" outline="0" showAll="0"/>
    <pivotField axis="axisRow" compact="0" outline="0" showAll="0">
      <items count="6">
        <item x="4"/>
        <item x="2"/>
        <item x="3"/>
        <item x="1"/>
        <item x="0"/>
        <item t="default"/>
      </items>
    </pivotField>
    <pivotField dataField="1" compact="0" numFmtId="1" outline="0" showAll="0"/>
    <pivotField compact="0" outline="0" showAll="0"/>
    <pivotField compact="0" outline="0" showAll="0"/>
    <pivotField compact="0" outline="0" showAll="0"/>
    <pivotField compact="0" outline="0" showAll="0"/>
    <pivotField axis="axisCol" compact="0" outline="0" showAll="0">
      <items count="4">
        <item x="1"/>
        <item x="2"/>
        <item x="0"/>
        <item t="default"/>
      </items>
    </pivotField>
  </pivotFields>
  <rowFields count="1">
    <field x="14"/>
  </rowFields>
  <rowItems count="6">
    <i>
      <x/>
    </i>
    <i>
      <x v="1"/>
    </i>
    <i>
      <x v="2"/>
    </i>
    <i>
      <x v="3"/>
    </i>
    <i>
      <x v="4"/>
    </i>
    <i t="grand">
      <x/>
    </i>
  </rowItems>
  <colFields count="1">
    <field x="20"/>
  </colFields>
  <colItems count="4">
    <i>
      <x/>
    </i>
    <i>
      <x v="1"/>
    </i>
    <i>
      <x v="2"/>
    </i>
    <i t="grand">
      <x/>
    </i>
  </colItems>
  <dataFields count="1">
    <dataField name="Average of Engagement Rate" fld="15" subtotal="average" baseField="0" baseItem="0" numFmtId="9"/>
  </dataFields>
  <formats count="21">
    <format dxfId="115">
      <pivotArea type="all" dataOnly="0" outline="0" fieldPosition="0"/>
    </format>
    <format dxfId="114">
      <pivotArea outline="0" collapsedLevelsAreSubtotals="1" fieldPosition="0"/>
    </format>
    <format dxfId="113">
      <pivotArea type="origin" dataOnly="0" labelOnly="1" outline="0" fieldPosition="0"/>
    </format>
    <format dxfId="112">
      <pivotArea type="topRight" dataOnly="0" labelOnly="1" outline="0" fieldPosition="0"/>
    </format>
    <format dxfId="111">
      <pivotArea field="14" type="button" dataOnly="0" labelOnly="1" outline="0" axis="axisRow" fieldPosition="0"/>
    </format>
    <format dxfId="110">
      <pivotArea dataOnly="0" labelOnly="1" outline="0" fieldPosition="0">
        <references count="1">
          <reference field="14" count="0"/>
        </references>
      </pivotArea>
    </format>
    <format dxfId="109">
      <pivotArea dataOnly="0" labelOnly="1" grandRow="1" outline="0" fieldPosition="0"/>
    </format>
    <format dxfId="108">
      <pivotArea dataOnly="0" labelOnly="1" grandCol="1" outline="0" fieldPosition="0"/>
    </format>
    <format dxfId="107">
      <pivotArea type="all" dataOnly="0" outline="0" fieldPosition="0"/>
    </format>
    <format dxfId="106">
      <pivotArea outline="0" collapsedLevelsAreSubtotals="1"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20" type="button" dataOnly="0" labelOnly="1" outline="0" axis="axisCol" fieldPosition="0"/>
    </format>
    <format dxfId="100">
      <pivotArea type="topRight" dataOnly="0" labelOnly="1" outline="0" fieldPosition="0"/>
    </format>
    <format dxfId="99">
      <pivotArea field="14" type="button" dataOnly="0" labelOnly="1" outline="0" axis="axisRow" fieldPosition="0"/>
    </format>
    <format dxfId="98">
      <pivotArea dataOnly="0" labelOnly="1" outline="0" fieldPosition="0">
        <references count="1">
          <reference field="14" count="0"/>
        </references>
      </pivotArea>
    </format>
    <format dxfId="97">
      <pivotArea dataOnly="0" labelOnly="1" grandRow="1" outline="0" fieldPosition="0"/>
    </format>
    <format dxfId="96">
      <pivotArea dataOnly="0" labelOnly="1" outline="0" fieldPosition="0">
        <references count="1">
          <reference field="20" count="0"/>
        </references>
      </pivotArea>
    </format>
    <format dxfId="95">
      <pivotArea dataOnly="0" labelOnly="1" grandCol="1" outline="0" fieldPosition="0"/>
    </format>
  </format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20" count="1" selected="0">
            <x v="1"/>
          </reference>
        </references>
      </pivotArea>
    </chartFormat>
    <chartFormat chart="1" format="5" series="1">
      <pivotArea type="data" outline="0" fieldPosition="0">
        <references count="2">
          <reference field="4294967294" count="1" selected="0">
            <x v="0"/>
          </reference>
          <reference field="20" count="1" selected="0">
            <x v="2"/>
          </reference>
        </references>
      </pivotArea>
    </chartFormat>
    <chartFormat chart="1" format="6" series="1">
      <pivotArea type="data" outline="0" fieldPosition="0">
        <references count="2">
          <reference field="4294967294" count="1" selected="0">
            <x v="0"/>
          </reference>
          <reference field="20" count="1" selected="0">
            <x v="0"/>
          </reference>
        </references>
      </pivotArea>
    </chartFormat>
    <chartFormat chart="1" format="7">
      <pivotArea type="data" outline="0" fieldPosition="0">
        <references count="3">
          <reference field="4294967294" count="1" selected="0">
            <x v="0"/>
          </reference>
          <reference field="14" count="1" selected="0">
            <x v="0"/>
          </reference>
          <reference field="20" count="1" selected="0">
            <x v="1"/>
          </reference>
        </references>
      </pivotArea>
    </chartFormat>
    <chartFormat chart="1" format="8">
      <pivotArea type="data" outline="0" fieldPosition="0">
        <references count="3">
          <reference field="4294967294" count="1" selected="0">
            <x v="0"/>
          </reference>
          <reference field="14" count="1" selected="0">
            <x v="1"/>
          </reference>
          <reference field="20" count="1" selected="0">
            <x v="0"/>
          </reference>
        </references>
      </pivotArea>
    </chartFormat>
    <chartFormat chart="1" format="9">
      <pivotArea type="data" outline="0" fieldPosition="0">
        <references count="3">
          <reference field="4294967294" count="1" selected="0">
            <x v="0"/>
          </reference>
          <reference field="14" count="1" selected="0">
            <x v="2"/>
          </reference>
          <reference field="20" count="1" selected="0">
            <x v="1"/>
          </reference>
        </references>
      </pivotArea>
    </chartFormat>
    <chartFormat chart="1" format="10">
      <pivotArea type="data" outline="0" fieldPosition="0">
        <references count="3">
          <reference field="4294967294" count="1" selected="0">
            <x v="0"/>
          </reference>
          <reference field="14" count="1" selected="0">
            <x v="2"/>
          </reference>
          <reference field="20" count="1" selected="0">
            <x v="0"/>
          </reference>
        </references>
      </pivotArea>
    </chartFormat>
    <chartFormat chart="1" format="11">
      <pivotArea type="data" outline="0" fieldPosition="0">
        <references count="3">
          <reference field="4294967294" count="1" selected="0">
            <x v="0"/>
          </reference>
          <reference field="14"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624F27-6FD9-49B4-9461-ACA1ED621CC7}"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F55" firstHeaderRow="1" firstDataRow="2" firstDataCol="1"/>
  <pivotFields count="9">
    <pivotField axis="axisRow" compact="0"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compact="0" outline="0" showAll="0">
      <items count="5">
        <item x="1"/>
        <item x="0"/>
        <item x="2"/>
        <item x="3"/>
        <item t="default"/>
      </items>
    </pivotField>
    <pivotField compact="0" numFmtId="1" outline="0" showAll="0"/>
    <pivotField compact="0" numFmtId="1" outline="0" showAll="0"/>
    <pivotField compact="0" numFmtId="1" outline="0" showAll="0"/>
    <pivotField compact="0" numFmtId="164" outline="0" showAll="0"/>
    <pivotField compact="0" numFmtId="1" outline="0" showAll="0"/>
    <pivotField dataField="1" compact="0" numFmtId="1" outline="0" showAll="0"/>
    <pivotField compact="0" outline="0"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Growth" fld="7" baseField="0" baseItem="0" numFmtId="1"/>
  </dataFields>
  <formats count="10">
    <format dxfId="59">
      <pivotArea type="all" dataOnly="0" outline="0" fieldPosition="0"/>
    </format>
    <format dxfId="58">
      <pivotArea outline="0" collapsedLevelsAreSubtotals="1" fieldPosition="0"/>
    </format>
    <format dxfId="57">
      <pivotArea type="origin" dataOnly="0" labelOnly="1" outline="0" fieldPosition="0"/>
    </format>
    <format dxfId="56">
      <pivotArea field="1" type="button" dataOnly="0" labelOnly="1" outline="0" axis="axisCol" fieldPosition="0"/>
    </format>
    <format dxfId="55">
      <pivotArea type="topRight" dataOnly="0" labelOnly="1" outline="0" fieldPosition="0"/>
    </format>
    <format dxfId="54">
      <pivotArea field="0" type="button" dataOnly="0" labelOnly="1" outline="0" axis="axisRow" fieldPosition="0"/>
    </format>
    <format dxfId="53">
      <pivotArea dataOnly="0" labelOnly="1" outline="0" fieldPosition="0">
        <references count="1">
          <reference field="0" count="0"/>
        </references>
      </pivotArea>
    </format>
    <format dxfId="52">
      <pivotArea dataOnly="0" labelOnly="1" grandRow="1" outline="0" fieldPosition="0"/>
    </format>
    <format dxfId="51">
      <pivotArea dataOnly="0" labelOnly="1" outline="0" fieldPosition="0">
        <references count="1">
          <reference field="1" count="0"/>
        </references>
      </pivotArea>
    </format>
    <format dxfId="50">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CC1CB43-524C-414E-852D-E86E8EF26F65}" sourceName="Platform">
  <pivotTables>
    <pivotTable tabId="4" name="PivotTable1"/>
  </pivotTables>
  <data>
    <tabular pivotCacheId="1188336870">
      <items count="4">
        <i x="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176B0182-61C7-43FE-BCA7-1B671C344595}" cache="Slicer_Platform" caption="Platform" rowHeight="2286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4.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B2A4-00EB-4ED2-A3E4-F887714E41D6}">
  <sheetPr>
    <tabColor rgb="FFFFFF00"/>
  </sheetPr>
  <dimension ref="A1:P84"/>
  <sheetViews>
    <sheetView topLeftCell="A69" workbookViewId="0">
      <selection activeCell="C91" sqref="C91"/>
    </sheetView>
  </sheetViews>
  <sheetFormatPr defaultRowHeight="14.4" x14ac:dyDescent="0.3"/>
  <cols>
    <col min="1" max="1" width="25" style="13" customWidth="1"/>
    <col min="2" max="2" width="27.6640625" style="13" customWidth="1"/>
    <col min="3" max="3" width="13.44140625" style="13" bestFit="1" customWidth="1"/>
    <col min="4" max="4" width="17.109375" style="13" customWidth="1"/>
    <col min="5" max="5" width="12.5546875" style="13" bestFit="1" customWidth="1"/>
    <col min="6" max="6" width="17.109375" style="13" bestFit="1" customWidth="1"/>
    <col min="7" max="7" width="13.44140625" style="13" bestFit="1" customWidth="1"/>
    <col min="8" max="8" width="12.5546875" style="13" bestFit="1" customWidth="1"/>
    <col min="9" max="9" width="17.109375" style="13" bestFit="1" customWidth="1"/>
    <col min="10" max="10" width="26.5546875" style="13" bestFit="1" customWidth="1"/>
    <col min="11" max="11" width="13.44140625" style="13" bestFit="1" customWidth="1"/>
    <col min="12" max="12" width="12.5546875" style="13" bestFit="1" customWidth="1"/>
    <col min="13" max="13" width="17.109375" style="13" bestFit="1" customWidth="1"/>
    <col min="14" max="14" width="26.5546875" style="13" bestFit="1" customWidth="1"/>
    <col min="15" max="15" width="16.5546875" style="13" customWidth="1"/>
    <col min="16" max="16" width="18.109375" style="13" customWidth="1"/>
    <col min="17" max="17" width="17.109375" style="13" bestFit="1" customWidth="1"/>
    <col min="18" max="18" width="26.5546875" style="13" bestFit="1" customWidth="1"/>
    <col min="19" max="19" width="13.44140625" style="13" bestFit="1" customWidth="1"/>
    <col min="20" max="20" width="12.5546875" style="13" bestFit="1" customWidth="1"/>
    <col min="21" max="21" width="17.109375" style="13" bestFit="1" customWidth="1"/>
    <col min="22" max="22" width="26.5546875" style="13" bestFit="1" customWidth="1"/>
    <col min="23" max="23" width="13.44140625" style="13" bestFit="1" customWidth="1"/>
    <col min="24" max="24" width="12.5546875" style="13" bestFit="1" customWidth="1"/>
    <col min="25" max="25" width="17.109375" style="13" bestFit="1" customWidth="1"/>
    <col min="26" max="26" width="31.5546875" style="13" bestFit="1" customWidth="1"/>
    <col min="27" max="27" width="18.5546875" style="13" bestFit="1" customWidth="1"/>
    <col min="28" max="28" width="17.5546875" style="13" bestFit="1" customWidth="1"/>
    <col min="29" max="29" width="22.109375" style="13" bestFit="1" customWidth="1"/>
    <col min="30" max="16384" width="8.88671875" style="13"/>
  </cols>
  <sheetData>
    <row r="1" spans="1:2" x14ac:dyDescent="0.3">
      <c r="A1" s="12" t="s">
        <v>0</v>
      </c>
      <c r="B1" s="13" t="s">
        <v>1</v>
      </c>
    </row>
    <row r="2" spans="1:2" x14ac:dyDescent="0.3">
      <c r="A2" s="13" t="s">
        <v>2</v>
      </c>
      <c r="B2" s="51">
        <v>0.12197289956132557</v>
      </c>
    </row>
    <row r="3" spans="1:2" x14ac:dyDescent="0.3">
      <c r="A3" s="13" t="s">
        <v>3</v>
      </c>
      <c r="B3" s="51">
        <v>0.19329257693923488</v>
      </c>
    </row>
    <row r="4" spans="1:2" x14ac:dyDescent="0.3">
      <c r="A4" s="13" t="s">
        <v>4</v>
      </c>
      <c r="B4" s="51">
        <v>0.14368407434207892</v>
      </c>
    </row>
    <row r="5" spans="1:2" x14ac:dyDescent="0.3">
      <c r="A5" s="13" t="s">
        <v>5</v>
      </c>
      <c r="B5" s="51">
        <v>0.13118493770753806</v>
      </c>
    </row>
    <row r="6" spans="1:2" x14ac:dyDescent="0.3">
      <c r="A6" s="13" t="s">
        <v>6</v>
      </c>
      <c r="B6" s="14">
        <v>0.1482827247985285</v>
      </c>
    </row>
    <row r="22" spans="1:16" ht="23.4" x14ac:dyDescent="0.3">
      <c r="A22" s="114" t="s">
        <v>7</v>
      </c>
      <c r="B22" s="114"/>
      <c r="C22" s="114"/>
      <c r="D22" s="114"/>
      <c r="E22" s="114"/>
      <c r="F22" s="114"/>
      <c r="G22" s="114"/>
      <c r="H22" s="114"/>
      <c r="I22" s="114"/>
      <c r="J22" s="114"/>
      <c r="K22" s="114"/>
      <c r="L22" s="114"/>
      <c r="M22" s="114"/>
      <c r="N22" s="114"/>
      <c r="O22" s="114"/>
      <c r="P22" s="114"/>
    </row>
    <row r="23" spans="1:16" x14ac:dyDescent="0.3">
      <c r="A23" s="22" t="s">
        <v>8</v>
      </c>
      <c r="B23" s="22" t="s">
        <v>0</v>
      </c>
      <c r="C23" s="22" t="s">
        <v>9</v>
      </c>
      <c r="D23" s="115" t="s">
        <v>10</v>
      </c>
      <c r="E23" s="115" t="s">
        <v>11</v>
      </c>
      <c r="F23" s="116" t="s">
        <v>12</v>
      </c>
      <c r="G23" s="116" t="s">
        <v>13</v>
      </c>
      <c r="H23" s="116" t="s">
        <v>14</v>
      </c>
      <c r="I23" s="116" t="s">
        <v>15</v>
      </c>
      <c r="J23" s="116" t="s">
        <v>16</v>
      </c>
      <c r="K23" s="116" t="s">
        <v>17</v>
      </c>
      <c r="L23" s="115" t="s">
        <v>18</v>
      </c>
      <c r="M23" s="115" t="s">
        <v>19</v>
      </c>
      <c r="N23" s="115" t="s">
        <v>20</v>
      </c>
      <c r="O23" s="115" t="s">
        <v>21</v>
      </c>
      <c r="P23" s="117" t="s">
        <v>22</v>
      </c>
    </row>
    <row r="24" spans="1:16" x14ac:dyDescent="0.3">
      <c r="A24" s="13" t="str" cm="1">
        <f t="array" ref="A24:P33">_xlfn._xlws.FILTER(Posts!A2:P301,Posts!P2:P301&gt;=LARGE(Posts!P2:P301,10))</f>
        <v>P220</v>
      </c>
      <c r="B24" s="13" t="str">
        <v>Instagram</v>
      </c>
      <c r="C24" s="13" t="str">
        <v>2024-06-02</v>
      </c>
      <c r="D24" s="13" t="str">
        <v>Story</v>
      </c>
      <c r="E24" s="13" t="str">
        <v>Check out our latest story on instagram!</v>
      </c>
      <c r="F24" s="13">
        <v>84</v>
      </c>
      <c r="G24" s="13">
        <v>897</v>
      </c>
      <c r="H24" s="13">
        <v>85</v>
      </c>
      <c r="I24" s="13">
        <v>588</v>
      </c>
      <c r="J24" s="13">
        <v>8</v>
      </c>
      <c r="K24" s="13">
        <v>12</v>
      </c>
      <c r="L24" s="13" t="str">
        <v>#EVRevolution</v>
      </c>
      <c r="M24" s="13">
        <v>0</v>
      </c>
      <c r="N24" s="13">
        <v>0</v>
      </c>
      <c r="O24" s="13">
        <v>0</v>
      </c>
      <c r="P24" s="44">
        <v>1.8129251700680271</v>
      </c>
    </row>
    <row r="25" spans="1:16" x14ac:dyDescent="0.3">
      <c r="A25" s="13" t="str">
        <v>P058</v>
      </c>
      <c r="B25" s="13" t="str">
        <v>Instagram</v>
      </c>
      <c r="C25" s="13" t="str">
        <v>2025-04-15</v>
      </c>
      <c r="D25" s="13" t="str">
        <v>Reel</v>
      </c>
      <c r="E25" s="13" t="str">
        <v>Check out our latest reel on instagram!</v>
      </c>
      <c r="F25" s="13">
        <v>103</v>
      </c>
      <c r="G25" s="13">
        <v>770</v>
      </c>
      <c r="H25" s="13">
        <v>19</v>
      </c>
      <c r="I25" s="13">
        <v>1030</v>
      </c>
      <c r="J25" s="13">
        <v>410</v>
      </c>
      <c r="K25" s="13">
        <v>262</v>
      </c>
      <c r="L25" s="13" t="str">
        <v>#TeslaCoInnovation</v>
      </c>
      <c r="M25" s="13">
        <v>0</v>
      </c>
      <c r="N25" s="13">
        <v>0</v>
      </c>
      <c r="O25" s="13" t="str">
        <v>SustainabilityDrive</v>
      </c>
      <c r="P25" s="44">
        <v>0.86601941747572819</v>
      </c>
    </row>
    <row r="26" spans="1:16" x14ac:dyDescent="0.3">
      <c r="A26" s="13" t="str">
        <v>P232</v>
      </c>
      <c r="B26" s="13" t="str">
        <v>Twitter</v>
      </c>
      <c r="C26" s="13" t="str">
        <v>2025-04-29</v>
      </c>
      <c r="D26" s="13" t="str">
        <v>Story</v>
      </c>
      <c r="E26" s="13" t="str">
        <v>Check out our latest story on twitter!</v>
      </c>
      <c r="F26" s="13">
        <v>249</v>
      </c>
      <c r="G26" s="13">
        <v>592</v>
      </c>
      <c r="H26" s="13">
        <v>230</v>
      </c>
      <c r="I26" s="13">
        <v>1494</v>
      </c>
      <c r="J26" s="13">
        <v>1044</v>
      </c>
      <c r="K26" s="13">
        <v>201</v>
      </c>
      <c r="L26" s="13" t="str">
        <v>#EVRevolution</v>
      </c>
      <c r="M26" s="13">
        <v>0</v>
      </c>
      <c r="N26" s="13">
        <v>0</v>
      </c>
      <c r="O26" s="13" t="str">
        <v>SustainabilityDrive</v>
      </c>
      <c r="P26" s="44">
        <v>0.7168674698795181</v>
      </c>
    </row>
    <row r="27" spans="1:16" x14ac:dyDescent="0.3">
      <c r="A27" s="13" t="str">
        <v>P178</v>
      </c>
      <c r="B27" s="13" t="str">
        <v>Instagram</v>
      </c>
      <c r="C27" s="13" t="str">
        <v>2024-11-07</v>
      </c>
      <c r="D27" s="13" t="str">
        <v>Video</v>
      </c>
      <c r="E27" s="13" t="str">
        <v>Check out our latest video on instagram!</v>
      </c>
      <c r="F27" s="13">
        <v>129</v>
      </c>
      <c r="G27" s="13">
        <v>643</v>
      </c>
      <c r="H27" s="13">
        <v>136</v>
      </c>
      <c r="I27" s="13">
        <v>1290</v>
      </c>
      <c r="J27" s="13">
        <v>839</v>
      </c>
      <c r="K27" s="13">
        <v>238</v>
      </c>
      <c r="L27" s="13" t="str">
        <v>#TeslaCoInnovation</v>
      </c>
      <c r="M27" s="13">
        <v>0</v>
      </c>
      <c r="N27" s="13">
        <v>0</v>
      </c>
      <c r="O27" s="13" t="str">
        <v>SustainabilityDrive</v>
      </c>
      <c r="P27" s="44">
        <v>0.70387596899224802</v>
      </c>
    </row>
    <row r="28" spans="1:16" x14ac:dyDescent="0.3">
      <c r="A28" s="13" t="str">
        <v>P175</v>
      </c>
      <c r="B28" s="13" t="str">
        <v>Instagram</v>
      </c>
      <c r="C28" s="13" t="str">
        <v>2025-01-17</v>
      </c>
      <c r="D28" s="13" t="str">
        <v>Reel</v>
      </c>
      <c r="E28" s="13" t="str">
        <v>Check out our latest reel on instagram!</v>
      </c>
      <c r="F28" s="13">
        <v>142</v>
      </c>
      <c r="G28" s="13">
        <v>784</v>
      </c>
      <c r="H28" s="13">
        <v>183</v>
      </c>
      <c r="I28" s="13">
        <v>1704</v>
      </c>
      <c r="J28" s="13">
        <v>995</v>
      </c>
      <c r="K28" s="13">
        <v>154</v>
      </c>
      <c r="L28" s="13" t="str">
        <v>#FutureOfDriving</v>
      </c>
      <c r="M28" s="13">
        <v>0</v>
      </c>
      <c r="N28" s="13">
        <v>0</v>
      </c>
      <c r="O28" s="13" t="str">
        <v>SustainabilityDrive</v>
      </c>
      <c r="P28" s="44">
        <v>0.6508215962441315</v>
      </c>
    </row>
    <row r="29" spans="1:16" x14ac:dyDescent="0.3">
      <c r="A29" s="13" t="str">
        <v>P062</v>
      </c>
      <c r="B29" s="13" t="str">
        <v>Twitter</v>
      </c>
      <c r="C29" s="13" t="str">
        <v>2024-11-22</v>
      </c>
      <c r="D29" s="13" t="str">
        <v>Carousel</v>
      </c>
      <c r="E29" s="13" t="str">
        <v>Check out our latest carousel on twitter!</v>
      </c>
      <c r="F29" s="13">
        <v>53</v>
      </c>
      <c r="G29" s="13">
        <v>81</v>
      </c>
      <c r="H29" s="13">
        <v>379</v>
      </c>
      <c r="I29" s="13">
        <v>954</v>
      </c>
      <c r="J29" s="13">
        <v>7</v>
      </c>
      <c r="K29" s="13">
        <v>148</v>
      </c>
      <c r="L29" s="13" t="str">
        <v>#TeslaCoInnovation</v>
      </c>
      <c r="M29" s="13">
        <v>0</v>
      </c>
      <c r="N29" s="13">
        <v>0</v>
      </c>
      <c r="O29" s="13" t="str">
        <v>FSDUpdate</v>
      </c>
      <c r="P29" s="44">
        <v>0.53773584905660377</v>
      </c>
    </row>
    <row r="30" spans="1:16" x14ac:dyDescent="0.3">
      <c r="A30" s="13" t="str">
        <v>P264</v>
      </c>
      <c r="B30" s="13" t="str">
        <v>Twitter</v>
      </c>
      <c r="C30" s="13" t="str">
        <v>2025-01-30</v>
      </c>
      <c r="D30" s="13" t="str">
        <v>Image</v>
      </c>
      <c r="E30" s="13" t="str">
        <v>Check out our latest image on twitter!</v>
      </c>
      <c r="F30" s="13">
        <v>59</v>
      </c>
      <c r="G30" s="13">
        <v>163</v>
      </c>
      <c r="H30" s="13">
        <v>93</v>
      </c>
      <c r="I30" s="13">
        <v>590</v>
      </c>
      <c r="J30" s="13">
        <v>475</v>
      </c>
      <c r="K30" s="13">
        <v>293</v>
      </c>
      <c r="L30" s="13" t="str">
        <v>#TeslaCoInnovation</v>
      </c>
      <c r="M30" s="13">
        <v>0</v>
      </c>
      <c r="N30" s="13">
        <v>0</v>
      </c>
      <c r="O30" s="13" t="str">
        <v>ModelYCampaign</v>
      </c>
      <c r="P30" s="44">
        <v>0.53389830508474578</v>
      </c>
    </row>
    <row r="31" spans="1:16" x14ac:dyDescent="0.3">
      <c r="A31" s="13" t="str">
        <v>P143</v>
      </c>
      <c r="B31" s="13" t="str">
        <v>YouTube</v>
      </c>
      <c r="C31" s="13" t="str">
        <v>2024-10-02</v>
      </c>
      <c r="D31" s="13" t="str">
        <v>Carousel</v>
      </c>
      <c r="E31" s="13" t="str">
        <v>Check out our latest carousel on youtube!</v>
      </c>
      <c r="F31" s="13">
        <v>80</v>
      </c>
      <c r="G31" s="13">
        <v>362</v>
      </c>
      <c r="H31" s="13">
        <v>80</v>
      </c>
      <c r="I31" s="13">
        <v>1040</v>
      </c>
      <c r="J31" s="13">
        <v>349</v>
      </c>
      <c r="K31" s="13">
        <v>117</v>
      </c>
      <c r="L31" s="13" t="str">
        <v>#TeslaCoInnovation</v>
      </c>
      <c r="M31" s="13">
        <v>0</v>
      </c>
      <c r="N31" s="13">
        <v>0</v>
      </c>
      <c r="O31" s="13" t="str">
        <v>FSDUpdate</v>
      </c>
      <c r="P31" s="44">
        <v>0.50192307692307692</v>
      </c>
    </row>
    <row r="32" spans="1:16" x14ac:dyDescent="0.3">
      <c r="A32" s="13" t="str">
        <v>P210</v>
      </c>
      <c r="B32" s="13" t="str">
        <v>YouTube</v>
      </c>
      <c r="C32" s="13" t="str">
        <v>2025-02-19</v>
      </c>
      <c r="D32" s="13" t="str">
        <v>Image</v>
      </c>
      <c r="E32" s="13" t="str">
        <v>Check out our latest image on youtube!</v>
      </c>
      <c r="F32" s="13">
        <v>257</v>
      </c>
      <c r="G32" s="13">
        <v>966</v>
      </c>
      <c r="H32" s="13">
        <v>398</v>
      </c>
      <c r="I32" s="13">
        <v>3341</v>
      </c>
      <c r="J32" s="13">
        <v>2753</v>
      </c>
      <c r="K32" s="13">
        <v>287</v>
      </c>
      <c r="L32" s="13" t="str">
        <v>#FutureOfDriving</v>
      </c>
      <c r="M32" s="13">
        <v>0</v>
      </c>
      <c r="N32" s="13">
        <v>0</v>
      </c>
      <c r="O32" s="13" t="str">
        <v>CybertruckLaunch</v>
      </c>
      <c r="P32" s="44">
        <v>0.48518407662376534</v>
      </c>
    </row>
    <row r="33" spans="1:16" x14ac:dyDescent="0.3">
      <c r="A33" s="13" t="str">
        <v>P070</v>
      </c>
      <c r="B33" s="13" t="str">
        <v>Facebook</v>
      </c>
      <c r="C33" s="13" t="str">
        <v>2025-04-02</v>
      </c>
      <c r="D33" s="13" t="str">
        <v>Video</v>
      </c>
      <c r="E33" s="13" t="str">
        <v>Check out our latest video on facebook!</v>
      </c>
      <c r="F33" s="13">
        <v>199</v>
      </c>
      <c r="G33" s="13">
        <v>772</v>
      </c>
      <c r="H33" s="13">
        <v>400</v>
      </c>
      <c r="I33" s="13">
        <v>3582</v>
      </c>
      <c r="J33" s="13">
        <v>2988</v>
      </c>
      <c r="K33" s="13">
        <v>43</v>
      </c>
      <c r="L33" s="13" t="str">
        <v>#TeslaCoInnovation</v>
      </c>
      <c r="M33" s="13">
        <v>0</v>
      </c>
      <c r="N33" s="13">
        <v>0</v>
      </c>
      <c r="O33" s="13">
        <v>0</v>
      </c>
      <c r="P33" s="44">
        <v>0.38274706867671693</v>
      </c>
    </row>
    <row r="43" spans="1:16" x14ac:dyDescent="0.3">
      <c r="A43" s="12" t="s">
        <v>10</v>
      </c>
      <c r="B43" s="13" t="s">
        <v>23</v>
      </c>
      <c r="C43" s="13" t="s">
        <v>24</v>
      </c>
      <c r="D43" s="13" t="s">
        <v>25</v>
      </c>
    </row>
    <row r="44" spans="1:16" x14ac:dyDescent="0.3">
      <c r="A44" s="13" t="s">
        <v>26</v>
      </c>
      <c r="B44" s="14">
        <v>24926</v>
      </c>
      <c r="C44" s="14">
        <v>6305</v>
      </c>
      <c r="D44" s="14">
        <v>2422</v>
      </c>
    </row>
    <row r="45" spans="1:16" x14ac:dyDescent="0.3">
      <c r="A45" s="13" t="s">
        <v>27</v>
      </c>
      <c r="B45" s="14">
        <v>23903</v>
      </c>
      <c r="C45" s="14">
        <v>4310</v>
      </c>
      <c r="D45" s="14">
        <v>2077</v>
      </c>
    </row>
    <row r="46" spans="1:16" x14ac:dyDescent="0.3">
      <c r="A46" s="13" t="s">
        <v>28</v>
      </c>
      <c r="B46" s="14">
        <v>32400</v>
      </c>
      <c r="C46" s="14">
        <v>4577</v>
      </c>
      <c r="D46" s="14">
        <v>2668</v>
      </c>
    </row>
    <row r="47" spans="1:16" x14ac:dyDescent="0.3">
      <c r="A47" s="13" t="s">
        <v>29</v>
      </c>
      <c r="B47" s="14">
        <v>31968</v>
      </c>
      <c r="C47" s="14">
        <v>3866</v>
      </c>
      <c r="D47" s="14">
        <v>2012</v>
      </c>
    </row>
    <row r="48" spans="1:16" x14ac:dyDescent="0.3">
      <c r="A48" s="13" t="s">
        <v>30</v>
      </c>
      <c r="B48" s="14">
        <v>27067</v>
      </c>
      <c r="C48" s="14">
        <v>3928</v>
      </c>
      <c r="D48" s="14">
        <v>1052</v>
      </c>
    </row>
    <row r="49" spans="1:4" x14ac:dyDescent="0.3">
      <c r="A49" s="13" t="s">
        <v>31</v>
      </c>
      <c r="B49" s="14">
        <v>31285</v>
      </c>
      <c r="C49" s="14">
        <v>5586</v>
      </c>
      <c r="D49" s="14">
        <v>2589</v>
      </c>
    </row>
    <row r="50" spans="1:4" x14ac:dyDescent="0.3">
      <c r="A50" s="13" t="s">
        <v>6</v>
      </c>
      <c r="B50" s="14">
        <v>171549</v>
      </c>
      <c r="C50" s="14">
        <v>28572</v>
      </c>
      <c r="D50" s="14">
        <v>12820</v>
      </c>
    </row>
    <row r="65" spans="1:2" x14ac:dyDescent="0.3">
      <c r="A65" s="12" t="s">
        <v>32</v>
      </c>
      <c r="B65" s="13" t="s">
        <v>33</v>
      </c>
    </row>
    <row r="66" spans="1:2" x14ac:dyDescent="0.3">
      <c r="A66" s="13" t="s">
        <v>34</v>
      </c>
      <c r="B66" s="14">
        <v>154</v>
      </c>
    </row>
    <row r="67" spans="1:2" x14ac:dyDescent="0.3">
      <c r="A67" s="13" t="s">
        <v>35</v>
      </c>
      <c r="B67" s="14">
        <v>238</v>
      </c>
    </row>
    <row r="68" spans="1:2" x14ac:dyDescent="0.3">
      <c r="A68" s="13" t="s">
        <v>36</v>
      </c>
      <c r="B68" s="14">
        <v>262</v>
      </c>
    </row>
    <row r="69" spans="1:2" x14ac:dyDescent="0.3">
      <c r="A69" s="13" t="s">
        <v>37</v>
      </c>
      <c r="B69" s="14">
        <v>201</v>
      </c>
    </row>
    <row r="70" spans="1:2" x14ac:dyDescent="0.3">
      <c r="A70" s="13" t="s">
        <v>38</v>
      </c>
      <c r="B70" s="14">
        <v>148</v>
      </c>
    </row>
    <row r="71" spans="1:2" x14ac:dyDescent="0.3">
      <c r="A71" s="13" t="s">
        <v>39</v>
      </c>
      <c r="B71" s="14">
        <v>12</v>
      </c>
    </row>
    <row r="72" spans="1:2" x14ac:dyDescent="0.3">
      <c r="A72" s="13" t="s">
        <v>40</v>
      </c>
      <c r="B72" s="14">
        <v>150.85374149659864</v>
      </c>
    </row>
    <row r="73" spans="1:2" x14ac:dyDescent="0.3">
      <c r="A73" s="13" t="s">
        <v>6</v>
      </c>
      <c r="B73" s="14">
        <v>151.22</v>
      </c>
    </row>
    <row r="83" spans="1:7" x14ac:dyDescent="0.3">
      <c r="A83" s="118" t="s">
        <v>660</v>
      </c>
      <c r="B83" s="57"/>
      <c r="C83" s="57"/>
      <c r="D83" s="57"/>
      <c r="E83" s="57"/>
      <c r="F83" s="57"/>
      <c r="G83" s="58"/>
    </row>
    <row r="84" spans="1:7" x14ac:dyDescent="0.3">
      <c r="A84" s="62"/>
      <c r="B84" s="63"/>
      <c r="C84" s="63"/>
      <c r="D84" s="63"/>
      <c r="E84" s="63"/>
      <c r="F84" s="63"/>
      <c r="G84" s="64"/>
    </row>
  </sheetData>
  <mergeCells count="2">
    <mergeCell ref="A22:P22"/>
    <mergeCell ref="A83:G84"/>
  </mergeCells>
  <conditionalFormatting sqref="A24:B27">
    <cfRule type="top10" dxfId="49" priority="2" rank="3"/>
  </conditionalFormatting>
  <conditionalFormatting sqref="A66:B72">
    <cfRule type="top10" dxfId="48" priority="1" rank="3"/>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2826-D67A-4965-B31E-7EC03BB17F9A}">
  <sheetPr>
    <tabColor rgb="FF002060"/>
  </sheetPr>
  <dimension ref="A3:O74"/>
  <sheetViews>
    <sheetView topLeftCell="A57" workbookViewId="0">
      <selection activeCell="E61" sqref="E61"/>
    </sheetView>
  </sheetViews>
  <sheetFormatPr defaultColWidth="9.109375" defaultRowHeight="14.4" x14ac:dyDescent="0.3"/>
  <cols>
    <col min="1" max="1" width="11.88671875" style="13" customWidth="1"/>
    <col min="2" max="2" width="29" style="13" customWidth="1"/>
    <col min="3" max="3" width="22" style="13" bestFit="1" customWidth="1"/>
    <col min="4" max="4" width="12.33203125" style="13" bestFit="1" customWidth="1"/>
    <col min="5" max="5" width="23.6640625" style="13" bestFit="1" customWidth="1"/>
    <col min="6" max="16384" width="9.109375" style="13"/>
  </cols>
  <sheetData>
    <row r="3" spans="1:2" x14ac:dyDescent="0.3">
      <c r="A3" s="12" t="s">
        <v>0</v>
      </c>
      <c r="B3" s="13" t="s">
        <v>1</v>
      </c>
    </row>
    <row r="4" spans="1:2" x14ac:dyDescent="0.3">
      <c r="A4" s="13" t="s">
        <v>2</v>
      </c>
      <c r="B4" s="51">
        <v>0.12197289956132557</v>
      </c>
    </row>
    <row r="5" spans="1:2" x14ac:dyDescent="0.3">
      <c r="A5" s="13" t="s">
        <v>3</v>
      </c>
      <c r="B5" s="51">
        <v>0.19329257693923488</v>
      </c>
    </row>
    <row r="6" spans="1:2" x14ac:dyDescent="0.3">
      <c r="A6" s="13" t="s">
        <v>4</v>
      </c>
      <c r="B6" s="51">
        <v>0.14368407434207892</v>
      </c>
    </row>
    <row r="7" spans="1:2" x14ac:dyDescent="0.3">
      <c r="A7" s="13" t="s">
        <v>5</v>
      </c>
      <c r="B7" s="51">
        <v>0.13118493770753806</v>
      </c>
    </row>
    <row r="8" spans="1:2" x14ac:dyDescent="0.3">
      <c r="A8" s="13" t="s">
        <v>6</v>
      </c>
      <c r="B8" s="52">
        <v>0.1482827247985285</v>
      </c>
    </row>
    <row r="17" spans="1:11" x14ac:dyDescent="0.3">
      <c r="A17" s="54" t="s">
        <v>41</v>
      </c>
      <c r="B17" s="55"/>
      <c r="C17" s="55"/>
      <c r="D17" s="55"/>
      <c r="E17" s="55"/>
      <c r="F17" s="55"/>
      <c r="G17" s="55"/>
      <c r="H17" s="55"/>
      <c r="I17" s="55"/>
      <c r="J17" s="55"/>
      <c r="K17" s="55"/>
    </row>
    <row r="18" spans="1:11" x14ac:dyDescent="0.3">
      <c r="A18" s="55"/>
      <c r="B18" s="55"/>
      <c r="C18" s="55"/>
      <c r="D18" s="55"/>
      <c r="E18" s="55"/>
      <c r="F18" s="55"/>
      <c r="G18" s="55"/>
      <c r="H18" s="55"/>
      <c r="I18" s="55"/>
      <c r="J18" s="55"/>
      <c r="K18" s="55"/>
    </row>
    <row r="19" spans="1:11" x14ac:dyDescent="0.3">
      <c r="A19" s="55"/>
      <c r="B19" s="55"/>
      <c r="C19" s="55"/>
      <c r="D19" s="55"/>
      <c r="E19" s="55"/>
      <c r="F19" s="55"/>
      <c r="G19" s="55"/>
      <c r="H19" s="55"/>
      <c r="I19" s="55"/>
      <c r="J19" s="55"/>
      <c r="K19" s="55"/>
    </row>
    <row r="25" spans="1:11" x14ac:dyDescent="0.3">
      <c r="A25" s="12" t="s">
        <v>0</v>
      </c>
      <c r="B25" s="13" t="s">
        <v>42</v>
      </c>
    </row>
    <row r="26" spans="1:11" x14ac:dyDescent="0.3">
      <c r="A26" s="13" t="s">
        <v>2</v>
      </c>
      <c r="B26" s="14">
        <v>711.14</v>
      </c>
    </row>
    <row r="27" spans="1:11" x14ac:dyDescent="0.3">
      <c r="A27" s="13" t="s">
        <v>3</v>
      </c>
      <c r="B27" s="14">
        <v>960.08</v>
      </c>
    </row>
    <row r="28" spans="1:11" x14ac:dyDescent="0.3">
      <c r="A28" s="13" t="s">
        <v>4</v>
      </c>
      <c r="B28" s="14">
        <v>823.54</v>
      </c>
    </row>
    <row r="29" spans="1:11" x14ac:dyDescent="0.3">
      <c r="A29" s="13" t="s">
        <v>5</v>
      </c>
      <c r="B29" s="14">
        <v>707.34</v>
      </c>
    </row>
    <row r="30" spans="1:11" x14ac:dyDescent="0.3">
      <c r="A30" s="13" t="s">
        <v>6</v>
      </c>
      <c r="B30" s="14">
        <v>800.52499999999998</v>
      </c>
    </row>
    <row r="40" spans="1:13" ht="19.5" customHeight="1" x14ac:dyDescent="0.3">
      <c r="A40" s="54" t="s">
        <v>43</v>
      </c>
      <c r="B40" s="55"/>
      <c r="C40" s="55"/>
      <c r="D40" s="55"/>
      <c r="E40" s="55"/>
      <c r="F40" s="55"/>
      <c r="G40" s="55"/>
      <c r="H40" s="55"/>
      <c r="I40" s="55"/>
      <c r="J40" s="55"/>
      <c r="K40" s="55"/>
      <c r="L40" s="20"/>
      <c r="M40" s="20"/>
    </row>
    <row r="41" spans="1:13" x14ac:dyDescent="0.3">
      <c r="A41" s="55"/>
      <c r="B41" s="55"/>
      <c r="C41" s="55"/>
      <c r="D41" s="55"/>
      <c r="E41" s="55"/>
      <c r="F41" s="55"/>
      <c r="G41" s="55"/>
      <c r="H41" s="55"/>
      <c r="I41" s="55"/>
      <c r="J41" s="55"/>
      <c r="K41" s="55"/>
      <c r="L41" s="20"/>
      <c r="M41" s="20"/>
    </row>
    <row r="42" spans="1:13" x14ac:dyDescent="0.3">
      <c r="A42" s="20"/>
      <c r="B42" s="20"/>
      <c r="C42" s="20"/>
      <c r="D42" s="20"/>
      <c r="E42" s="20"/>
      <c r="F42" s="20"/>
      <c r="G42" s="20"/>
      <c r="H42" s="20"/>
      <c r="I42" s="20"/>
      <c r="J42" s="20"/>
      <c r="K42" s="20"/>
      <c r="L42" s="20"/>
      <c r="M42" s="20"/>
    </row>
    <row r="53" spans="1:4" x14ac:dyDescent="0.3">
      <c r="A53" s="17" t="s">
        <v>0</v>
      </c>
      <c r="B53" s="17" t="s">
        <v>44</v>
      </c>
      <c r="C53" s="17" t="s">
        <v>45</v>
      </c>
      <c r="D53" s="17" t="s">
        <v>46</v>
      </c>
    </row>
    <row r="54" spans="1:4" x14ac:dyDescent="0.3">
      <c r="A54" s="13" t="s">
        <v>2</v>
      </c>
      <c r="B54" s="13">
        <v>305242</v>
      </c>
      <c r="C54" s="14">
        <v>27590.78</v>
      </c>
      <c r="D54" s="51">
        <f>B54/C54/100</f>
        <v>0.11063188499926425</v>
      </c>
    </row>
    <row r="55" spans="1:4" x14ac:dyDescent="0.3">
      <c r="A55" s="13" t="s">
        <v>3</v>
      </c>
      <c r="B55" s="13">
        <v>263579</v>
      </c>
      <c r="C55" s="14">
        <v>23287.46</v>
      </c>
      <c r="D55" s="51">
        <f t="shared" ref="D55:D57" si="0">B55/C55/100</f>
        <v>0.11318495018348931</v>
      </c>
    </row>
    <row r="56" spans="1:4" x14ac:dyDescent="0.3">
      <c r="A56" s="13" t="s">
        <v>4</v>
      </c>
      <c r="B56" s="13">
        <v>256005</v>
      </c>
      <c r="C56" s="14">
        <v>21207.14</v>
      </c>
      <c r="D56" s="51">
        <f t="shared" si="0"/>
        <v>0.12071641909281498</v>
      </c>
    </row>
    <row r="57" spans="1:4" x14ac:dyDescent="0.3">
      <c r="A57" s="13" t="s">
        <v>5</v>
      </c>
      <c r="B57" s="13">
        <v>212941</v>
      </c>
      <c r="C57" s="14">
        <v>24572.94</v>
      </c>
      <c r="D57" s="51">
        <f t="shared" si="0"/>
        <v>8.6656704488758771E-2</v>
      </c>
    </row>
    <row r="58" spans="1:4" x14ac:dyDescent="0.3">
      <c r="A58" s="17" t="s">
        <v>6</v>
      </c>
      <c r="B58" s="17">
        <v>1037767</v>
      </c>
      <c r="C58" s="53">
        <v>24164.58</v>
      </c>
    </row>
    <row r="65" spans="1:15" ht="15" customHeight="1" x14ac:dyDescent="0.3">
      <c r="A65" s="65" t="s">
        <v>47</v>
      </c>
      <c r="B65" s="66"/>
      <c r="C65" s="67"/>
    </row>
    <row r="66" spans="1:15" ht="24" customHeight="1" x14ac:dyDescent="0.3">
      <c r="A66" s="68"/>
      <c r="B66" s="69"/>
      <c r="C66" s="70"/>
    </row>
    <row r="67" spans="1:15" ht="18.75" customHeight="1" x14ac:dyDescent="0.3">
      <c r="A67" s="68"/>
      <c r="B67" s="69"/>
      <c r="C67" s="70"/>
    </row>
    <row r="68" spans="1:15" x14ac:dyDescent="0.3">
      <c r="A68" s="68"/>
      <c r="B68" s="69"/>
      <c r="C68" s="70"/>
    </row>
    <row r="69" spans="1:15" ht="18.75" customHeight="1" x14ac:dyDescent="0.3">
      <c r="A69" s="56" t="s">
        <v>48</v>
      </c>
      <c r="B69" s="57"/>
      <c r="C69" s="57"/>
      <c r="D69" s="57"/>
      <c r="E69" s="57"/>
      <c r="F69" s="57"/>
      <c r="G69" s="57"/>
      <c r="H69" s="57"/>
      <c r="I69" s="57"/>
      <c r="J69" s="57"/>
      <c r="K69" s="57"/>
      <c r="L69" s="57"/>
      <c r="M69" s="57"/>
      <c r="N69" s="57"/>
      <c r="O69" s="58"/>
    </row>
    <row r="70" spans="1:15" x14ac:dyDescent="0.3">
      <c r="A70" s="59"/>
      <c r="B70" s="60"/>
      <c r="C70" s="60"/>
      <c r="D70" s="60"/>
      <c r="E70" s="60"/>
      <c r="F70" s="60"/>
      <c r="G70" s="60"/>
      <c r="H70" s="60"/>
      <c r="I70" s="60"/>
      <c r="J70" s="60"/>
      <c r="K70" s="60"/>
      <c r="L70" s="60"/>
      <c r="M70" s="60"/>
      <c r="N70" s="60"/>
      <c r="O70" s="61"/>
    </row>
    <row r="71" spans="1:15" ht="20.25" customHeight="1" x14ac:dyDescent="0.3">
      <c r="A71" s="59"/>
      <c r="B71" s="60"/>
      <c r="C71" s="60"/>
      <c r="D71" s="60"/>
      <c r="E71" s="60"/>
      <c r="F71" s="60"/>
      <c r="G71" s="60"/>
      <c r="H71" s="60"/>
      <c r="I71" s="60"/>
      <c r="J71" s="60"/>
      <c r="K71" s="60"/>
      <c r="L71" s="60"/>
      <c r="M71" s="60"/>
      <c r="N71" s="60"/>
      <c r="O71" s="61"/>
    </row>
    <row r="72" spans="1:15" x14ac:dyDescent="0.3">
      <c r="A72" s="62"/>
      <c r="B72" s="63"/>
      <c r="C72" s="63"/>
      <c r="D72" s="63"/>
      <c r="E72" s="63"/>
      <c r="F72" s="63"/>
      <c r="G72" s="63"/>
      <c r="H72" s="63"/>
      <c r="I72" s="63"/>
      <c r="J72" s="63"/>
      <c r="K72" s="63"/>
      <c r="L72" s="63"/>
      <c r="M72" s="63"/>
      <c r="N72" s="63"/>
      <c r="O72" s="64"/>
    </row>
    <row r="73" spans="1:15" x14ac:dyDescent="0.3">
      <c r="A73" s="20"/>
      <c r="B73" s="20"/>
      <c r="C73" s="20"/>
      <c r="D73" s="20"/>
      <c r="E73" s="20"/>
      <c r="F73" s="20"/>
      <c r="G73" s="20"/>
      <c r="H73" s="20"/>
      <c r="I73" s="20"/>
      <c r="J73" s="20"/>
      <c r="K73" s="20"/>
      <c r="L73" s="20"/>
      <c r="M73" s="20"/>
    </row>
    <row r="74" spans="1:15" x14ac:dyDescent="0.3">
      <c r="A74" s="20"/>
      <c r="B74" s="20"/>
      <c r="C74" s="20"/>
      <c r="D74" s="20"/>
      <c r="E74" s="20"/>
      <c r="F74" s="20"/>
      <c r="G74" s="20"/>
      <c r="H74" s="20"/>
      <c r="I74" s="20"/>
      <c r="J74" s="20"/>
      <c r="K74" s="20"/>
      <c r="L74" s="20"/>
      <c r="M74" s="20"/>
    </row>
  </sheetData>
  <mergeCells count="4">
    <mergeCell ref="A17:K19"/>
    <mergeCell ref="A40:K41"/>
    <mergeCell ref="A69:O72"/>
    <mergeCell ref="A65:C68"/>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90A2-6C54-4607-85D9-1F63A311B694}">
  <sheetPr>
    <tabColor theme="5" tint="-0.249977111117893"/>
  </sheetPr>
  <dimension ref="A3:M58"/>
  <sheetViews>
    <sheetView topLeftCell="A41" workbookViewId="0">
      <selection activeCell="D41" sqref="D41"/>
    </sheetView>
  </sheetViews>
  <sheetFormatPr defaultColWidth="9.109375" defaultRowHeight="14.4" x14ac:dyDescent="0.3"/>
  <cols>
    <col min="1" max="1" width="21.6640625" style="13" customWidth="1"/>
    <col min="2" max="2" width="29.5546875" style="13" customWidth="1"/>
    <col min="3" max="3" width="16.88671875" style="13" customWidth="1"/>
    <col min="4" max="4" width="20.5546875" style="13" bestFit="1" customWidth="1"/>
    <col min="5" max="5" width="15.88671875" style="13" customWidth="1"/>
    <col min="6" max="6" width="26.5546875" style="13" customWidth="1"/>
    <col min="7" max="7" width="15.44140625" style="13" bestFit="1" customWidth="1"/>
    <col min="8" max="18" width="9.109375" style="13"/>
    <col min="19" max="19" width="21.109375" style="13" bestFit="1" customWidth="1"/>
    <col min="20" max="20" width="9.109375" style="13"/>
    <col min="21" max="21" width="10.5546875" style="13" bestFit="1" customWidth="1"/>
    <col min="22" max="22" width="14.33203125" style="13" bestFit="1" customWidth="1"/>
    <col min="23" max="23" width="9.5546875" style="13" bestFit="1" customWidth="1"/>
    <col min="24" max="24" width="15.6640625" style="13" bestFit="1" customWidth="1"/>
    <col min="25" max="16384" width="9.109375" style="13"/>
  </cols>
  <sheetData>
    <row r="3" spans="1:2" x14ac:dyDescent="0.3">
      <c r="A3" s="12" t="s">
        <v>32</v>
      </c>
      <c r="B3" s="13" t="s">
        <v>49</v>
      </c>
    </row>
    <row r="4" spans="1:2" x14ac:dyDescent="0.3">
      <c r="A4" s="13" t="s">
        <v>39</v>
      </c>
      <c r="B4" s="13">
        <v>107</v>
      </c>
    </row>
    <row r="5" spans="1:2" x14ac:dyDescent="0.3">
      <c r="A5" s="13" t="s">
        <v>37</v>
      </c>
      <c r="B5" s="13">
        <v>103</v>
      </c>
    </row>
    <row r="6" spans="1:2" x14ac:dyDescent="0.3">
      <c r="A6" s="13" t="s">
        <v>36</v>
      </c>
      <c r="B6" s="13">
        <v>102</v>
      </c>
    </row>
    <row r="7" spans="1:2" x14ac:dyDescent="0.3">
      <c r="A7" s="13" t="s">
        <v>34</v>
      </c>
      <c r="B7" s="13">
        <v>15</v>
      </c>
    </row>
    <row r="8" spans="1:2" x14ac:dyDescent="0.3">
      <c r="A8" s="13" t="s">
        <v>35</v>
      </c>
      <c r="B8" s="13">
        <v>7</v>
      </c>
    </row>
    <row r="9" spans="1:2" x14ac:dyDescent="0.3">
      <c r="A9" s="13" t="s">
        <v>38</v>
      </c>
      <c r="B9" s="13">
        <v>5</v>
      </c>
    </row>
    <row r="10" spans="1:2" x14ac:dyDescent="0.3">
      <c r="A10" s="13" t="s">
        <v>40</v>
      </c>
    </row>
    <row r="11" spans="1:2" x14ac:dyDescent="0.3">
      <c r="A11" s="13" t="s">
        <v>6</v>
      </c>
      <c r="B11" s="13">
        <v>339</v>
      </c>
    </row>
    <row r="24" spans="1:13" ht="15" customHeight="1" x14ac:dyDescent="0.3">
      <c r="A24" s="86" t="s">
        <v>50</v>
      </c>
      <c r="B24" s="87"/>
      <c r="C24" s="87"/>
      <c r="D24" s="87"/>
      <c r="E24" s="87"/>
      <c r="F24" s="88"/>
      <c r="G24" s="48"/>
    </row>
    <row r="25" spans="1:13" ht="15" customHeight="1" x14ac:dyDescent="0.3">
      <c r="A25" s="77" t="s">
        <v>51</v>
      </c>
      <c r="B25" s="78"/>
      <c r="C25" s="78"/>
      <c r="D25" s="78"/>
      <c r="E25" s="78"/>
      <c r="F25" s="79"/>
      <c r="G25" s="48"/>
    </row>
    <row r="26" spans="1:13" s="11" customFormat="1" x14ac:dyDescent="0.3">
      <c r="A26" s="80"/>
      <c r="B26" s="81"/>
      <c r="C26" s="81"/>
      <c r="D26" s="81"/>
      <c r="E26" s="81"/>
      <c r="F26" s="82"/>
    </row>
    <row r="27" spans="1:13" ht="19.5" customHeight="1" x14ac:dyDescent="0.3">
      <c r="A27" s="83"/>
      <c r="B27" s="84"/>
      <c r="C27" s="84"/>
      <c r="D27" s="84"/>
      <c r="E27" s="84"/>
      <c r="F27" s="85"/>
    </row>
    <row r="28" spans="1:13" x14ac:dyDescent="0.3">
      <c r="A28" s="49" t="s">
        <v>52</v>
      </c>
      <c r="B28" s="49" t="s">
        <v>53</v>
      </c>
      <c r="C28" s="49" t="s">
        <v>54</v>
      </c>
      <c r="D28" s="49" t="s">
        <v>55</v>
      </c>
      <c r="E28" s="49" t="s">
        <v>56</v>
      </c>
      <c r="F28" s="49" t="s">
        <v>57</v>
      </c>
    </row>
    <row r="29" spans="1:13" x14ac:dyDescent="0.3">
      <c r="A29" s="13" t="s">
        <v>36</v>
      </c>
      <c r="B29" s="14" cm="1">
        <f t="array" ref="B29">AVERAGE(_xlfn._xlws.FILTER(Posts!F:F,(Posts!L:L=A29)+(Posts!M:M=A29)+(Posts!N:N=A29)))</f>
        <v>2836.3168316831684</v>
      </c>
      <c r="C29" s="14" cm="1">
        <f t="array" ref="C29">AVERAGE(_xlfn._xlws.FILTER(Posts!G:G,(Posts!L:L=A29)+(Posts!M:M=A29)+(Posts!N:N=A29)))</f>
        <v>462.66336633663366</v>
      </c>
      <c r="D29" s="14" cm="1">
        <f t="array" ref="D29">AVERAGE(_xlfn._xlws.FILTER(Posts!H:H,(Posts!L:L=A29)+(Posts!M:M=A29)+(Posts!N:N=A29)))</f>
        <v>231.61386138613861</v>
      </c>
      <c r="E29" s="14" cm="1">
        <f t="array" ref="E29">AVERAGE(_xlfn._xlws.FILTER(Posts!K:K,(Posts!L:L=A29)+(Posts!M:M=A29)+(Posts!N:N=A29)))</f>
        <v>152.78217821782178</v>
      </c>
      <c r="F29" s="50" cm="1">
        <f t="array" ref="F29">AVERAGE(_xlfn._xlws.FILTER(Posts!P:P,(Posts!L:L=A29)+(Posts!M:M=A29)+(Posts!N:N=A29)))</f>
        <v>0.15459346886870165</v>
      </c>
    </row>
    <row r="30" spans="1:13" x14ac:dyDescent="0.3">
      <c r="A30" s="13" t="s">
        <v>39</v>
      </c>
      <c r="B30" s="14" cm="1">
        <f t="array" ref="B30">AVERAGE(_xlfn._xlws.FILTER(Posts!F:F,(Posts!L:L=A30)+(Posts!M:M=A30)+(Posts!N:N=A30)))</f>
        <v>2705.1028037383176</v>
      </c>
      <c r="C30" s="14" cm="1">
        <f t="array" ref="C30">AVERAGE(_xlfn._xlws.FILTER(Posts!G:G,(Posts!L:L=A30)+(Posts!M:M=A30)+(Posts!N:N=A30)))</f>
        <v>458.01869158878503</v>
      </c>
      <c r="D30" s="14" cm="1">
        <f t="array" ref="D30">AVERAGE(_xlfn._xlws.FILTER(Posts!H:H,(Posts!L:L=A30)+(Posts!M:M=A30)+(Posts!N:N=A30)))</f>
        <v>254.18691588785046</v>
      </c>
      <c r="E30" s="14" cm="1">
        <f t="array" ref="E30">AVERAGE(_xlfn._xlws.FILTER(Posts!K:K,(Posts!L:L=A30)+(Posts!M:M=A30)+(Posts!N:N=A30)))</f>
        <v>158.65420560747663</v>
      </c>
      <c r="F30" s="50" cm="1">
        <f t="array" ref="F30">AVERAGE(_xlfn._xlws.FILTER(Posts!P:P,(Posts!L:L=A30)+(Posts!M:M=A30)+(Posts!N:N=A30)))</f>
        <v>0.14515321153500596</v>
      </c>
    </row>
    <row r="31" spans="1:13" x14ac:dyDescent="0.3">
      <c r="A31" s="13" t="s">
        <v>37</v>
      </c>
      <c r="B31" s="14" cm="1">
        <f t="array" ref="B31">AVERAGE(_xlfn._xlws.FILTER(Posts!F:F,(Posts!L:L=A31)+(Posts!M:M=A31)+(Posts!N:N=A31)))</f>
        <v>2634.7184466019417</v>
      </c>
      <c r="C31" s="14" cm="1">
        <f t="array" ref="C31">AVERAGE(_xlfn._xlws.FILTER(Posts!G:G,(Posts!L:L=A31)+(Posts!M:M=A31)+(Posts!N:N=A31)))</f>
        <v>508.63106796116506</v>
      </c>
      <c r="D31" s="14" cm="1">
        <f t="array" ref="D31">AVERAGE(_xlfn._xlws.FILTER(Posts!H:H,(Posts!L:L=A31)+(Posts!M:M=A31)+(Posts!N:N=A31)))</f>
        <v>262.50485436893206</v>
      </c>
      <c r="E31" s="14" cm="1">
        <f t="array" ref="E31">AVERAGE(_xlfn._xlws.FILTER(Posts!K:K,(Posts!L:L=A31)+(Posts!M:M=A31)+(Posts!N:N=A31)))</f>
        <v>144.03883495145632</v>
      </c>
      <c r="F31" s="50" cm="1">
        <f t="array" ref="F31">AVERAGE(_xlfn._xlws.FILTER(Posts!P:P,(Posts!L:L=A31)+(Posts!M:M=A31)+(Posts!N:N=A31)))</f>
        <v>0.14123247081320284</v>
      </c>
    </row>
    <row r="32" spans="1:13" x14ac:dyDescent="0.3">
      <c r="A32" s="13" t="s">
        <v>35</v>
      </c>
      <c r="B32" s="14" cm="1">
        <f t="array" ref="B32">AVERAGE(_xlfn._xlws.FILTER(Posts!F:F,(Posts!L:L=A32)+(Posts!M:M=A32)+(Posts!N:N=A32)))</f>
        <v>3451.7142857142858</v>
      </c>
      <c r="C32" s="14" cm="1">
        <f t="array" ref="C32">AVERAGE(_xlfn._xlws.FILTER(Posts!G:G,(Posts!L:L=A32)+(Posts!M:M=A32)+(Posts!N:N=A32)))</f>
        <v>540.57142857142856</v>
      </c>
      <c r="D32" s="14" cm="1">
        <f t="array" ref="D32">AVERAGE(_xlfn._xlws.FILTER(Posts!H:H,(Posts!L:L=A32)+(Posts!M:M=A32)+(Posts!N:N=A32)))</f>
        <v>151</v>
      </c>
      <c r="E32" s="14" cm="1">
        <f t="array" ref="E32">AVERAGE(_xlfn._xlws.FILTER(Posts!K:K,(Posts!L:L=A32)+(Posts!M:M=A32)+(Posts!N:N=A32)))</f>
        <v>114.85714285714286</v>
      </c>
      <c r="F32" s="50" cm="1">
        <f t="array" ref="F32">AVERAGE(_xlfn._xlws.FILTER(Posts!P:P,(Posts!L:L=A32)+(Posts!M:M=A32)+(Posts!N:N=A32)))</f>
        <v>0.12589594685729985</v>
      </c>
      <c r="G32" s="89" t="s">
        <v>58</v>
      </c>
      <c r="H32" s="87"/>
      <c r="I32" s="87"/>
      <c r="J32" s="87"/>
      <c r="K32" s="87"/>
      <c r="L32" s="87"/>
      <c r="M32" s="88"/>
    </row>
    <row r="33" spans="1:13" x14ac:dyDescent="0.3">
      <c r="A33" s="13" t="s">
        <v>34</v>
      </c>
      <c r="B33" s="14" cm="1">
        <f t="array" ref="B33">AVERAGE(_xlfn._xlws.FILTER(Posts!F:F,(Posts!L:L=A33)+(Posts!M:M=A33)+(Posts!N:N=A33)))</f>
        <v>2219.6</v>
      </c>
      <c r="C33" s="14" cm="1">
        <f t="array" ref="C33">AVERAGE(_xlfn._xlws.FILTER(Posts!G:G,(Posts!L:L=A33)+(Posts!M:M=A33)+(Posts!N:N=A33)))</f>
        <v>423.93333333333334</v>
      </c>
      <c r="D33" s="14" cm="1">
        <f t="array" ref="D33">AVERAGE(_xlfn._xlws.FILTER(Posts!H:H,(Posts!L:L=A33)+(Posts!M:M=A33)+(Posts!N:N=A33)))</f>
        <v>257.39999999999998</v>
      </c>
      <c r="E33" s="14" cm="1">
        <f t="array" ref="E33">AVERAGE(_xlfn._xlws.FILTER(Posts!K:K,(Posts!L:L=A33)+(Posts!M:M=A33)+(Posts!N:N=A33)))</f>
        <v>161.19999999999999</v>
      </c>
      <c r="F33" s="50" cm="1">
        <f t="array" ref="F33">AVERAGE(_xlfn._xlws.FILTER(Posts!P:P,(Posts!L:L=A33)+(Posts!M:M=A33)+(Posts!N:N=A33)))</f>
        <v>0.1163607377837132</v>
      </c>
      <c r="G33" s="90"/>
      <c r="H33" s="91"/>
      <c r="I33" s="91"/>
      <c r="J33" s="91"/>
      <c r="K33" s="91"/>
      <c r="L33" s="91"/>
      <c r="M33" s="92"/>
    </row>
    <row r="34" spans="1:13" x14ac:dyDescent="0.3">
      <c r="A34" s="13" t="s">
        <v>38</v>
      </c>
      <c r="B34" s="14" cm="1">
        <f t="array" ref="B34">AVERAGE(_xlfn._xlws.FILTER(Posts!F:F,(Posts!L:L=A34)+(Posts!M:M=A34)+(Posts!N:N=A34)))</f>
        <v>3127.8</v>
      </c>
      <c r="C34" s="14" cm="1">
        <f t="array" ref="C34">AVERAGE(_xlfn._xlws.FILTER(Posts!G:G,(Posts!L:L=A34)+(Posts!M:M=A34)+(Posts!N:N=A34)))</f>
        <v>356.2</v>
      </c>
      <c r="D34" s="14" cm="1">
        <f t="array" ref="D34">AVERAGE(_xlfn._xlws.FILTER(Posts!H:H,(Posts!L:L=A34)+(Posts!M:M=A34)+(Posts!N:N=A34)))</f>
        <v>283.39999999999998</v>
      </c>
      <c r="E34" s="14" cm="1">
        <f t="array" ref="E34">AVERAGE(_xlfn._xlws.FILTER(Posts!K:K,(Posts!L:L=A34)+(Posts!M:M=A34)+(Posts!N:N=A34)))</f>
        <v>111.8</v>
      </c>
      <c r="F34" s="50" cm="1">
        <f t="array" ref="F34">AVERAGE(_xlfn._xlws.FILTER(Posts!P:P,(Posts!L:L=A34)+(Posts!M:M=A34)+(Posts!N:N=A34)))</f>
        <v>0.11481753670769272</v>
      </c>
    </row>
    <row r="46" spans="1:13" x14ac:dyDescent="0.3">
      <c r="A46" s="12" t="s">
        <v>10</v>
      </c>
      <c r="B46" s="13" t="s">
        <v>59</v>
      </c>
      <c r="C46" s="13" t="s">
        <v>60</v>
      </c>
      <c r="D46" s="13" t="s">
        <v>61</v>
      </c>
      <c r="E46" s="13" t="s">
        <v>33</v>
      </c>
      <c r="F46" s="13" t="s">
        <v>1</v>
      </c>
    </row>
    <row r="47" spans="1:13" x14ac:dyDescent="0.3">
      <c r="A47" s="13" t="s">
        <v>29</v>
      </c>
      <c r="B47" s="14">
        <v>2706.2608695652175</v>
      </c>
      <c r="C47" s="14">
        <v>520.76086956521738</v>
      </c>
      <c r="D47" s="14">
        <v>263.19565217391306</v>
      </c>
      <c r="E47" s="14">
        <v>131.69565217391303</v>
      </c>
      <c r="F47" s="44">
        <v>0.18425775384163354</v>
      </c>
    </row>
    <row r="48" spans="1:13" x14ac:dyDescent="0.3">
      <c r="A48" s="13" t="s">
        <v>28</v>
      </c>
      <c r="B48" s="14">
        <v>2722.2340425531916</v>
      </c>
      <c r="C48" s="14">
        <v>493.63829787234044</v>
      </c>
      <c r="D48" s="14">
        <v>240.85106382978722</v>
      </c>
      <c r="E48" s="14">
        <v>152.65957446808511</v>
      </c>
      <c r="F48" s="44">
        <v>0.15615682164328951</v>
      </c>
    </row>
    <row r="49" spans="1:6" x14ac:dyDescent="0.3">
      <c r="A49" s="13" t="s">
        <v>26</v>
      </c>
      <c r="B49" s="14">
        <v>2745.7457627118642</v>
      </c>
      <c r="C49" s="14">
        <v>448.66101694915255</v>
      </c>
      <c r="D49" s="14">
        <v>245.89830508474577</v>
      </c>
      <c r="E49" s="14">
        <v>156.81355932203391</v>
      </c>
      <c r="F49" s="44">
        <v>0.14814919934149989</v>
      </c>
    </row>
    <row r="50" spans="1:6" x14ac:dyDescent="0.3">
      <c r="A50" s="13" t="s">
        <v>31</v>
      </c>
      <c r="B50" s="14">
        <v>2688.2558139534885</v>
      </c>
      <c r="C50" s="14">
        <v>488.25581395348837</v>
      </c>
      <c r="D50" s="14">
        <v>239.04651162790697</v>
      </c>
      <c r="E50" s="14">
        <v>132.83720930232559</v>
      </c>
      <c r="F50" s="44">
        <v>0.14814844474464278</v>
      </c>
    </row>
    <row r="51" spans="1:6" x14ac:dyDescent="0.3">
      <c r="A51" s="13" t="s">
        <v>27</v>
      </c>
      <c r="B51" s="14">
        <v>2753.4603174603176</v>
      </c>
      <c r="C51" s="14">
        <v>470</v>
      </c>
      <c r="D51" s="14">
        <v>259.55555555555554</v>
      </c>
      <c r="E51" s="14">
        <v>163.5873015873016</v>
      </c>
      <c r="F51" s="44">
        <v>0.13687494054869703</v>
      </c>
    </row>
    <row r="52" spans="1:6" x14ac:dyDescent="0.3">
      <c r="A52" s="13" t="s">
        <v>30</v>
      </c>
      <c r="B52" s="14">
        <v>2773.7142857142858</v>
      </c>
      <c r="C52" s="14">
        <v>445.07142857142856</v>
      </c>
      <c r="D52" s="14">
        <v>244.88095238095238</v>
      </c>
      <c r="E52" s="14">
        <v>163.4047619047619</v>
      </c>
      <c r="F52" s="44">
        <v>0.11750673823506556</v>
      </c>
    </row>
    <row r="53" spans="1:6" x14ac:dyDescent="0.3">
      <c r="A53" s="13" t="s">
        <v>6</v>
      </c>
      <c r="B53" s="14">
        <v>2733.3033333333333</v>
      </c>
      <c r="C53" s="14">
        <v>476.41666666666669</v>
      </c>
      <c r="D53" s="14">
        <v>249.50333333333333</v>
      </c>
      <c r="E53" s="14">
        <v>151.22</v>
      </c>
      <c r="F53" s="44">
        <v>0.14828272479852861</v>
      </c>
    </row>
    <row r="55" spans="1:6" x14ac:dyDescent="0.3">
      <c r="A55" s="71" t="s">
        <v>62</v>
      </c>
      <c r="B55" s="72"/>
    </row>
    <row r="56" spans="1:6" x14ac:dyDescent="0.3">
      <c r="A56" s="73"/>
      <c r="B56" s="74"/>
    </row>
    <row r="57" spans="1:6" x14ac:dyDescent="0.3">
      <c r="A57" s="75" t="s">
        <v>63</v>
      </c>
      <c r="B57" s="76"/>
      <c r="C57" s="55"/>
      <c r="D57" s="55"/>
      <c r="E57" s="55"/>
    </row>
    <row r="58" spans="1:6" x14ac:dyDescent="0.3">
      <c r="A58" s="55"/>
      <c r="B58" s="55"/>
      <c r="C58" s="55"/>
      <c r="D58" s="55"/>
      <c r="E58" s="55"/>
    </row>
  </sheetData>
  <mergeCells count="5">
    <mergeCell ref="A55:B56"/>
    <mergeCell ref="A57:E58"/>
    <mergeCell ref="A25:F27"/>
    <mergeCell ref="A24:F24"/>
    <mergeCell ref="G32:M33"/>
  </mergeCells>
  <conditionalFormatting sqref="A4:B10">
    <cfRule type="top10" dxfId="47" priority="9" rank="3"/>
  </conditionalFormatting>
  <conditionalFormatting sqref="A29:F34">
    <cfRule type="expression" dxfId="46" priority="1">
      <formula>$F29=MAX($F$29:$F$34)</formula>
    </cfRule>
  </conditionalFormatting>
  <conditionalFormatting sqref="A47:F52">
    <cfRule type="expression" dxfId="45" priority="3">
      <formula>$F47=MAX($F$47:$F$52)</formula>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645B-2C8F-4A64-B6F1-CBD1F293B170}">
  <sheetPr>
    <tabColor theme="6" tint="-0.249977111117893"/>
  </sheetPr>
  <dimension ref="A3:H87"/>
  <sheetViews>
    <sheetView topLeftCell="A71" workbookViewId="0">
      <selection activeCell="F42" sqref="F42"/>
    </sheetView>
  </sheetViews>
  <sheetFormatPr defaultColWidth="9.109375" defaultRowHeight="14.4" x14ac:dyDescent="0.3"/>
  <cols>
    <col min="1" max="1" width="30.6640625" style="13" customWidth="1"/>
    <col min="2" max="2" width="23.5546875" style="13" customWidth="1"/>
    <col min="3" max="3" width="12" style="13" customWidth="1"/>
    <col min="4" max="4" width="16.44140625" style="13" customWidth="1"/>
    <col min="5" max="5" width="15.44140625" style="13" customWidth="1"/>
    <col min="6" max="6" width="18.88671875" style="13" customWidth="1"/>
    <col min="7" max="7" width="16.44140625" style="13" customWidth="1"/>
    <col min="8" max="16384" width="9.109375" style="13"/>
  </cols>
  <sheetData>
    <row r="3" spans="1:7" x14ac:dyDescent="0.3">
      <c r="A3" s="12" t="s">
        <v>21</v>
      </c>
      <c r="B3" s="13" t="s">
        <v>64</v>
      </c>
      <c r="C3" s="13" t="s">
        <v>23</v>
      </c>
      <c r="D3" s="13" t="s">
        <v>65</v>
      </c>
      <c r="E3" s="13" t="s">
        <v>66</v>
      </c>
      <c r="F3" s="13" t="s">
        <v>53</v>
      </c>
      <c r="G3" s="13" t="s">
        <v>56</v>
      </c>
    </row>
    <row r="4" spans="1:7" x14ac:dyDescent="0.3">
      <c r="A4" s="13" t="s">
        <v>67</v>
      </c>
      <c r="B4" s="14">
        <v>1846272</v>
      </c>
      <c r="C4" s="14">
        <v>138793</v>
      </c>
      <c r="D4" s="14">
        <v>6434</v>
      </c>
      <c r="E4" s="14">
        <v>38464</v>
      </c>
      <c r="F4" s="14">
        <v>2891.5208333333335</v>
      </c>
      <c r="G4" s="14">
        <v>134.04166666666666</v>
      </c>
    </row>
    <row r="5" spans="1:7" x14ac:dyDescent="0.3">
      <c r="A5" s="13" t="s">
        <v>68</v>
      </c>
      <c r="B5" s="14">
        <v>2266053</v>
      </c>
      <c r="C5" s="14">
        <v>183346</v>
      </c>
      <c r="D5" s="14">
        <v>10032</v>
      </c>
      <c r="E5" s="14">
        <v>33821.686567164179</v>
      </c>
      <c r="F5" s="14">
        <v>2736.5074626865671</v>
      </c>
      <c r="G5" s="14">
        <v>149.73134328358208</v>
      </c>
    </row>
    <row r="6" spans="1:7" x14ac:dyDescent="0.3">
      <c r="A6" s="13" t="s">
        <v>69</v>
      </c>
      <c r="B6" s="14">
        <v>1986356</v>
      </c>
      <c r="C6" s="14">
        <v>159783</v>
      </c>
      <c r="D6" s="14">
        <v>9872</v>
      </c>
      <c r="E6" s="14">
        <v>34247.517241379312</v>
      </c>
      <c r="F6" s="14">
        <v>2754.8793103448274</v>
      </c>
      <c r="G6" s="14">
        <v>170.20689655172413</v>
      </c>
    </row>
    <row r="7" spans="1:7" x14ac:dyDescent="0.3">
      <c r="A7" s="13" t="s">
        <v>70</v>
      </c>
      <c r="B7" s="14">
        <v>2464864</v>
      </c>
      <c r="C7" s="14">
        <v>187909</v>
      </c>
      <c r="D7" s="14">
        <v>10689</v>
      </c>
      <c r="E7" s="14">
        <v>34716.394366197186</v>
      </c>
      <c r="F7" s="14">
        <v>2646.605633802817</v>
      </c>
      <c r="G7" s="14">
        <v>150.54929577464787</v>
      </c>
    </row>
    <row r="8" spans="1:7" x14ac:dyDescent="0.3">
      <c r="A8" s="13" t="s">
        <v>40</v>
      </c>
      <c r="B8" s="14">
        <v>1830608</v>
      </c>
      <c r="C8" s="14">
        <v>150160</v>
      </c>
      <c r="D8" s="14">
        <v>8339</v>
      </c>
      <c r="E8" s="14">
        <v>32689.428571428572</v>
      </c>
      <c r="F8" s="14">
        <v>2681.4285714285716</v>
      </c>
      <c r="G8" s="14">
        <v>148.91071428571428</v>
      </c>
    </row>
    <row r="9" spans="1:7" x14ac:dyDescent="0.3">
      <c r="A9" s="13" t="s">
        <v>6</v>
      </c>
      <c r="B9" s="14">
        <v>10394153</v>
      </c>
      <c r="C9" s="14">
        <v>819991</v>
      </c>
      <c r="D9" s="14">
        <v>45366</v>
      </c>
      <c r="E9" s="14">
        <v>34647.176666666666</v>
      </c>
      <c r="F9" s="14">
        <v>2733.3033333333333</v>
      </c>
      <c r="G9" s="14">
        <v>151.22</v>
      </c>
    </row>
    <row r="30" spans="1:6" x14ac:dyDescent="0.3">
      <c r="A30" s="12" t="s">
        <v>1</v>
      </c>
      <c r="B30" s="12" t="s">
        <v>71</v>
      </c>
      <c r="F30" s="18"/>
    </row>
    <row r="31" spans="1:6" x14ac:dyDescent="0.3">
      <c r="A31" s="12" t="s">
        <v>21</v>
      </c>
      <c r="B31" s="13" t="s">
        <v>72</v>
      </c>
      <c r="C31" s="13" t="s">
        <v>73</v>
      </c>
      <c r="D31" s="13" t="s">
        <v>74</v>
      </c>
      <c r="E31" s="13" t="s">
        <v>6</v>
      </c>
      <c r="F31" s="17" t="s">
        <v>75</v>
      </c>
    </row>
    <row r="32" spans="1:6" x14ac:dyDescent="0.3">
      <c r="A32" s="13" t="s">
        <v>67</v>
      </c>
      <c r="B32" s="44">
        <v>0.13530148159138197</v>
      </c>
      <c r="C32" s="44">
        <v>7.7296913158705363E-2</v>
      </c>
      <c r="D32" s="44"/>
      <c r="E32" s="44">
        <v>0.12925933904631148</v>
      </c>
      <c r="F32" s="44">
        <f>C32-B32</f>
        <v>-5.8004568432676609E-2</v>
      </c>
    </row>
    <row r="33" spans="1:6" x14ac:dyDescent="0.3">
      <c r="A33" s="13" t="s">
        <v>68</v>
      </c>
      <c r="B33" s="44">
        <v>0.14108804287980664</v>
      </c>
      <c r="C33" s="44">
        <v>0.2061036280141991</v>
      </c>
      <c r="D33" s="44"/>
      <c r="E33" s="44">
        <v>0.14399918848283916</v>
      </c>
      <c r="F33" s="44">
        <f t="shared" ref="F33:F36" si="0">C33-B33</f>
        <v>6.5015585134392456E-2</v>
      </c>
    </row>
    <row r="34" spans="1:6" x14ac:dyDescent="0.3">
      <c r="A34" s="13" t="s">
        <v>69</v>
      </c>
      <c r="B34" s="44">
        <v>0.13996497479913381</v>
      </c>
      <c r="C34" s="44">
        <v>0.15063544700706727</v>
      </c>
      <c r="D34" s="44"/>
      <c r="E34" s="44">
        <v>0.14125279041043609</v>
      </c>
      <c r="F34" s="44">
        <f t="shared" si="0"/>
        <v>1.0670472207933462E-2</v>
      </c>
    </row>
    <row r="35" spans="1:6" x14ac:dyDescent="0.3">
      <c r="A35" s="13" t="s">
        <v>70</v>
      </c>
      <c r="B35" s="44">
        <v>0.15710993995332556</v>
      </c>
      <c r="C35" s="44">
        <v>0.1121014056861131</v>
      </c>
      <c r="D35" s="44"/>
      <c r="E35" s="44">
        <v>0.15203855581054104</v>
      </c>
      <c r="F35" s="44">
        <f t="shared" si="0"/>
        <v>-4.5008534267212463E-2</v>
      </c>
    </row>
    <row r="36" spans="1:6" x14ac:dyDescent="0.3">
      <c r="A36" s="13" t="s">
        <v>40</v>
      </c>
      <c r="B36" s="44"/>
      <c r="C36" s="44"/>
      <c r="D36" s="44">
        <v>0.1722325755469942</v>
      </c>
      <c r="E36" s="44">
        <v>0.1722325755469942</v>
      </c>
      <c r="F36" s="44">
        <f t="shared" si="0"/>
        <v>0</v>
      </c>
    </row>
    <row r="37" spans="1:6" x14ac:dyDescent="0.3">
      <c r="A37" s="13" t="s">
        <v>6</v>
      </c>
      <c r="B37" s="44">
        <v>0.14427030943236369</v>
      </c>
      <c r="C37" s="44">
        <v>0.12852412279889128</v>
      </c>
      <c r="D37" s="44">
        <v>0.1722325755469942</v>
      </c>
      <c r="E37" s="44">
        <v>0.14828272479852853</v>
      </c>
      <c r="F37" s="19"/>
    </row>
    <row r="40" spans="1:6" x14ac:dyDescent="0.3">
      <c r="A40" s="97" t="s">
        <v>76</v>
      </c>
    </row>
    <row r="41" spans="1:6" x14ac:dyDescent="0.3">
      <c r="A41" s="98"/>
    </row>
    <row r="42" spans="1:6" x14ac:dyDescent="0.3">
      <c r="A42" s="99" t="s">
        <v>77</v>
      </c>
      <c r="B42" s="100"/>
      <c r="C42" s="100"/>
      <c r="D42" s="100"/>
      <c r="E42" s="101"/>
    </row>
    <row r="43" spans="1:6" x14ac:dyDescent="0.3">
      <c r="A43" s="102"/>
      <c r="B43" s="103"/>
      <c r="C43" s="103"/>
      <c r="D43" s="103"/>
      <c r="E43" s="104"/>
    </row>
    <row r="44" spans="1:6" x14ac:dyDescent="0.3">
      <c r="A44" s="102"/>
      <c r="B44" s="103"/>
      <c r="C44" s="103"/>
      <c r="D44" s="103"/>
      <c r="E44" s="104"/>
    </row>
    <row r="45" spans="1:6" x14ac:dyDescent="0.3">
      <c r="A45" s="105"/>
      <c r="B45" s="106"/>
      <c r="C45" s="106"/>
      <c r="D45" s="106"/>
      <c r="E45" s="107"/>
    </row>
    <row r="53" spans="1:8" ht="24.6" x14ac:dyDescent="0.3">
      <c r="A53" s="12" t="s">
        <v>21</v>
      </c>
      <c r="B53" s="13" t="s">
        <v>23</v>
      </c>
      <c r="C53" s="13" t="s">
        <v>24</v>
      </c>
      <c r="D53" s="13" t="s">
        <v>25</v>
      </c>
      <c r="E53" s="17" t="s">
        <v>78</v>
      </c>
      <c r="F53" s="17" t="s">
        <v>79</v>
      </c>
      <c r="G53" s="21" t="s">
        <v>80</v>
      </c>
    </row>
    <row r="54" spans="1:8" x14ac:dyDescent="0.3">
      <c r="A54" s="13" t="s">
        <v>67</v>
      </c>
      <c r="B54" s="14">
        <v>138793</v>
      </c>
      <c r="C54" s="14">
        <v>23053</v>
      </c>
      <c r="D54" s="14">
        <v>12055</v>
      </c>
      <c r="E54" s="14">
        <f>B54+C54+D54</f>
        <v>173901</v>
      </c>
      <c r="F54" s="13">
        <f>_xlfn.IFNA(_xlfn.XLOOKUP(A54,'Campaign Metadata'!$A$2:$A$5,'Campaign Metadata'!$E$2:$E$5),"")</f>
        <v>150000</v>
      </c>
      <c r="G54" s="44">
        <f>E54/F54</f>
        <v>1.15934</v>
      </c>
    </row>
    <row r="55" spans="1:8" x14ac:dyDescent="0.3">
      <c r="A55" s="13" t="s">
        <v>68</v>
      </c>
      <c r="B55" s="14">
        <v>183346</v>
      </c>
      <c r="C55" s="14">
        <v>32909</v>
      </c>
      <c r="D55" s="14">
        <v>16566</v>
      </c>
      <c r="E55" s="14">
        <f t="shared" ref="E55:E58" si="1">B55+C55+D55</f>
        <v>232821</v>
      </c>
      <c r="F55" s="13">
        <f>_xlfn.IFNA(_xlfn.XLOOKUP(A55,'Campaign Metadata'!$A$2:$A$5,'Campaign Metadata'!$E$2:$E$5),"")</f>
        <v>250000</v>
      </c>
      <c r="G55" s="44">
        <f t="shared" ref="G55:G57" si="2">E55/F55</f>
        <v>0.931284</v>
      </c>
    </row>
    <row r="56" spans="1:8" x14ac:dyDescent="0.3">
      <c r="A56" s="13" t="s">
        <v>69</v>
      </c>
      <c r="B56" s="14">
        <v>159783</v>
      </c>
      <c r="C56" s="14">
        <v>26553</v>
      </c>
      <c r="D56" s="14">
        <v>15403</v>
      </c>
      <c r="E56" s="14">
        <f t="shared" si="1"/>
        <v>201739</v>
      </c>
      <c r="F56" s="13">
        <f>_xlfn.IFNA(_xlfn.XLOOKUP(A56,'Campaign Metadata'!$A$2:$A$5,'Campaign Metadata'!$E$2:$E$5),"")</f>
        <v>200000</v>
      </c>
      <c r="G56" s="44">
        <f t="shared" si="2"/>
        <v>1.0086949999999999</v>
      </c>
    </row>
    <row r="57" spans="1:8" x14ac:dyDescent="0.3">
      <c r="A57" s="13" t="s">
        <v>70</v>
      </c>
      <c r="B57" s="14">
        <v>187909</v>
      </c>
      <c r="C57" s="14">
        <v>34860</v>
      </c>
      <c r="D57" s="14">
        <v>17714</v>
      </c>
      <c r="E57" s="14">
        <f t="shared" si="1"/>
        <v>240483</v>
      </c>
      <c r="F57" s="13">
        <f>_xlfn.IFNA(_xlfn.XLOOKUP(A57,'Campaign Metadata'!$A$2:$A$5,'Campaign Metadata'!$E$2:$E$5),"")</f>
        <v>180000</v>
      </c>
      <c r="G57" s="44">
        <f t="shared" si="2"/>
        <v>1.3360166666666666</v>
      </c>
    </row>
    <row r="58" spans="1:8" x14ac:dyDescent="0.3">
      <c r="A58" s="13" t="s">
        <v>40</v>
      </c>
      <c r="B58" s="14">
        <v>150160</v>
      </c>
      <c r="C58" s="14">
        <v>25550</v>
      </c>
      <c r="D58" s="14">
        <v>13113</v>
      </c>
      <c r="E58" s="14">
        <f t="shared" si="1"/>
        <v>188823</v>
      </c>
      <c r="F58" s="13" t="str">
        <f>_xlfn.IFNA(_xlfn.XLOOKUP(A58,'Campaign Metadata'!$A$2:$A$5,'Campaign Metadata'!$E$2:$E$5),"0")</f>
        <v>0</v>
      </c>
    </row>
    <row r="59" spans="1:8" x14ac:dyDescent="0.3">
      <c r="A59" s="13" t="s">
        <v>6</v>
      </c>
      <c r="B59" s="14">
        <v>819991</v>
      </c>
      <c r="C59" s="14">
        <v>142925</v>
      </c>
      <c r="D59" s="14">
        <v>74851</v>
      </c>
    </row>
    <row r="61" spans="1:8" x14ac:dyDescent="0.3">
      <c r="A61" s="93" t="s">
        <v>81</v>
      </c>
      <c r="B61" s="94"/>
    </row>
    <row r="62" spans="1:8" x14ac:dyDescent="0.3">
      <c r="A62" s="95"/>
      <c r="B62" s="96"/>
    </row>
    <row r="63" spans="1:8" ht="15" customHeight="1" x14ac:dyDescent="0.3">
      <c r="A63" s="54" t="s">
        <v>82</v>
      </c>
      <c r="B63" s="55"/>
      <c r="C63" s="55"/>
      <c r="D63" s="55"/>
      <c r="E63" s="55"/>
      <c r="F63" s="55"/>
      <c r="G63" s="55"/>
      <c r="H63" s="55"/>
    </row>
    <row r="64" spans="1:8" x14ac:dyDescent="0.3">
      <c r="A64" s="55"/>
      <c r="B64" s="55"/>
      <c r="C64" s="55"/>
      <c r="D64" s="55"/>
      <c r="E64" s="55"/>
      <c r="F64" s="55"/>
      <c r="G64" s="55"/>
      <c r="H64" s="55"/>
    </row>
    <row r="75" spans="1:2" x14ac:dyDescent="0.3">
      <c r="A75" s="12" t="s">
        <v>71</v>
      </c>
      <c r="B75" s="13" t="s">
        <v>83</v>
      </c>
    </row>
    <row r="76" spans="1:2" x14ac:dyDescent="0.3">
      <c r="A76" s="13" t="s">
        <v>68</v>
      </c>
      <c r="B76" s="14">
        <v>10087</v>
      </c>
    </row>
    <row r="77" spans="1:2" x14ac:dyDescent="0.3">
      <c r="A77" s="13" t="s">
        <v>69</v>
      </c>
      <c r="B77" s="14">
        <v>11092</v>
      </c>
    </row>
    <row r="78" spans="1:2" x14ac:dyDescent="0.3">
      <c r="A78" s="13" t="s">
        <v>67</v>
      </c>
      <c r="B78" s="14">
        <v>13523</v>
      </c>
    </row>
    <row r="79" spans="1:2" x14ac:dyDescent="0.3">
      <c r="A79" s="13" t="s">
        <v>70</v>
      </c>
      <c r="B79" s="14">
        <v>16078</v>
      </c>
    </row>
    <row r="80" spans="1:2" x14ac:dyDescent="0.3">
      <c r="A80" s="13" t="s">
        <v>74</v>
      </c>
      <c r="B80" s="14">
        <v>109325</v>
      </c>
    </row>
    <row r="81" spans="1:5" x14ac:dyDescent="0.3">
      <c r="A81" s="13" t="s">
        <v>6</v>
      </c>
      <c r="B81" s="14">
        <v>160105</v>
      </c>
    </row>
    <row r="84" spans="1:5" x14ac:dyDescent="0.3">
      <c r="A84" s="93" t="s">
        <v>81</v>
      </c>
    </row>
    <row r="85" spans="1:5" x14ac:dyDescent="0.3">
      <c r="A85" s="95"/>
    </row>
    <row r="86" spans="1:5" x14ac:dyDescent="0.3">
      <c r="A86" s="54" t="s">
        <v>84</v>
      </c>
      <c r="B86" s="55"/>
      <c r="C86" s="55"/>
      <c r="D86" s="55"/>
      <c r="E86" s="55"/>
    </row>
    <row r="87" spans="1:5" x14ac:dyDescent="0.3">
      <c r="A87" s="55"/>
      <c r="B87" s="55"/>
      <c r="C87" s="55"/>
      <c r="D87" s="55"/>
      <c r="E87" s="55"/>
    </row>
  </sheetData>
  <mergeCells count="6">
    <mergeCell ref="A61:B62"/>
    <mergeCell ref="A63:H64"/>
    <mergeCell ref="A84:A85"/>
    <mergeCell ref="A86:E87"/>
    <mergeCell ref="A40:A41"/>
    <mergeCell ref="A42:E45"/>
  </mergeCells>
  <conditionalFormatting sqref="A76:B79">
    <cfRule type="expression" dxfId="44" priority="1">
      <formula>$B76=MAX($B$76:$B$79)</formula>
    </cfRule>
  </conditionalFormatting>
  <conditionalFormatting sqref="A54:G58">
    <cfRule type="expression" dxfId="43" priority="2">
      <formula>$G54=MAX($G$54:$G$57)</formula>
    </cfRule>
  </conditionalFormatting>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1B0E-DFB9-4521-A04C-9967DE32D4D7}">
  <sheetPr>
    <tabColor rgb="FF7030A0"/>
  </sheetPr>
  <dimension ref="A3:O144"/>
  <sheetViews>
    <sheetView topLeftCell="A85" workbookViewId="0">
      <selection activeCell="I119" sqref="I119"/>
    </sheetView>
  </sheetViews>
  <sheetFormatPr defaultColWidth="9.109375" defaultRowHeight="14.4" x14ac:dyDescent="0.3"/>
  <cols>
    <col min="1" max="1" width="19.88671875" style="4" bestFit="1" customWidth="1"/>
    <col min="2" max="2" width="23" style="4" customWidth="1"/>
    <col min="3" max="3" width="22.88671875" style="4" customWidth="1"/>
    <col min="4" max="4" width="7.44140625" style="4" bestFit="1" customWidth="1"/>
    <col min="5" max="5" width="8.6640625" style="4" bestFit="1" customWidth="1"/>
    <col min="6" max="6" width="11.44140625" style="4" bestFit="1" customWidth="1"/>
    <col min="7" max="7" width="11.109375" style="4" bestFit="1" customWidth="1"/>
    <col min="8" max="16384" width="9.109375" style="4"/>
  </cols>
  <sheetData>
    <row r="3" spans="1:7" x14ac:dyDescent="0.3">
      <c r="A3" s="45" t="s">
        <v>83</v>
      </c>
      <c r="B3" s="45" t="s">
        <v>0</v>
      </c>
    </row>
    <row r="4" spans="1:7" x14ac:dyDescent="0.3">
      <c r="A4" s="45" t="s">
        <v>85</v>
      </c>
      <c r="B4" s="4" t="s">
        <v>2</v>
      </c>
      <c r="C4" s="4" t="s">
        <v>3</v>
      </c>
      <c r="D4" s="4" t="s">
        <v>4</v>
      </c>
      <c r="E4" s="4" t="s">
        <v>5</v>
      </c>
      <c r="F4" s="4" t="s">
        <v>6</v>
      </c>
    </row>
    <row r="5" spans="1:7" x14ac:dyDescent="0.3">
      <c r="A5" s="4" t="s">
        <v>86</v>
      </c>
      <c r="B5" s="7">
        <v>1002</v>
      </c>
      <c r="C5" s="7">
        <v>1047</v>
      </c>
      <c r="D5" s="7">
        <v>415</v>
      </c>
      <c r="E5" s="7">
        <v>1090</v>
      </c>
      <c r="F5" s="7">
        <v>3554</v>
      </c>
    </row>
    <row r="6" spans="1:7" x14ac:dyDescent="0.3">
      <c r="A6" s="4" t="s">
        <v>87</v>
      </c>
      <c r="B6" s="7">
        <v>1283</v>
      </c>
      <c r="C6" s="7">
        <v>517</v>
      </c>
      <c r="D6" s="7">
        <v>186</v>
      </c>
      <c r="E6" s="7">
        <v>994</v>
      </c>
      <c r="F6" s="7">
        <v>2980</v>
      </c>
    </row>
    <row r="7" spans="1:7" x14ac:dyDescent="0.3">
      <c r="A7" s="4" t="s">
        <v>88</v>
      </c>
      <c r="B7" s="7">
        <v>1382</v>
      </c>
      <c r="C7" s="7">
        <v>893</v>
      </c>
      <c r="D7" s="7">
        <v>1295</v>
      </c>
      <c r="E7" s="7">
        <v>337</v>
      </c>
      <c r="F7" s="7">
        <v>3907</v>
      </c>
    </row>
    <row r="8" spans="1:7" x14ac:dyDescent="0.3">
      <c r="A8" s="4" t="s">
        <v>89</v>
      </c>
      <c r="B8" s="7">
        <v>1670</v>
      </c>
      <c r="C8" s="7">
        <v>629</v>
      </c>
      <c r="D8" s="7">
        <v>835</v>
      </c>
      <c r="E8" s="7">
        <v>-123</v>
      </c>
      <c r="F8" s="7">
        <v>3011</v>
      </c>
      <c r="G8" s="7"/>
    </row>
    <row r="9" spans="1:7" x14ac:dyDescent="0.3">
      <c r="A9" s="4" t="s">
        <v>90</v>
      </c>
      <c r="B9" s="7">
        <v>64</v>
      </c>
      <c r="C9" s="7">
        <v>-219</v>
      </c>
      <c r="D9" s="7">
        <v>1357</v>
      </c>
      <c r="E9" s="7">
        <v>91</v>
      </c>
      <c r="F9" s="7">
        <v>1293</v>
      </c>
    </row>
    <row r="10" spans="1:7" x14ac:dyDescent="0.3">
      <c r="A10" s="4" t="s">
        <v>91</v>
      </c>
      <c r="B10" s="7">
        <v>309</v>
      </c>
      <c r="C10" s="7">
        <v>1672</v>
      </c>
      <c r="D10" s="7">
        <v>547</v>
      </c>
      <c r="E10" s="7">
        <v>514</v>
      </c>
      <c r="F10" s="7">
        <v>3042</v>
      </c>
    </row>
    <row r="11" spans="1:7" x14ac:dyDescent="0.3">
      <c r="A11" s="4" t="s">
        <v>92</v>
      </c>
      <c r="B11" s="7">
        <v>-164</v>
      </c>
      <c r="C11" s="7">
        <v>1845</v>
      </c>
      <c r="D11" s="7">
        <v>429</v>
      </c>
      <c r="E11" s="7">
        <v>160</v>
      </c>
      <c r="F11" s="7">
        <v>2270</v>
      </c>
    </row>
    <row r="12" spans="1:7" x14ac:dyDescent="0.3">
      <c r="A12" s="4" t="s">
        <v>93</v>
      </c>
      <c r="B12" s="7">
        <v>961</v>
      </c>
      <c r="C12" s="7">
        <v>159</v>
      </c>
      <c r="D12" s="7">
        <v>1316</v>
      </c>
      <c r="E12" s="7">
        <v>317</v>
      </c>
      <c r="F12" s="7">
        <v>2753</v>
      </c>
    </row>
    <row r="13" spans="1:7" x14ac:dyDescent="0.3">
      <c r="A13" s="4" t="s">
        <v>94</v>
      </c>
      <c r="B13" s="7">
        <v>-318</v>
      </c>
      <c r="C13" s="7">
        <v>541</v>
      </c>
      <c r="D13" s="7">
        <v>1495</v>
      </c>
      <c r="E13" s="7">
        <v>475</v>
      </c>
      <c r="F13" s="7">
        <v>2193</v>
      </c>
    </row>
    <row r="14" spans="1:7" x14ac:dyDescent="0.3">
      <c r="A14" s="4" t="s">
        <v>95</v>
      </c>
      <c r="B14" s="7">
        <v>-197</v>
      </c>
      <c r="C14" s="7">
        <v>352</v>
      </c>
      <c r="D14" s="7">
        <v>328</v>
      </c>
      <c r="E14" s="7">
        <v>319</v>
      </c>
      <c r="F14" s="7">
        <v>802</v>
      </c>
    </row>
    <row r="15" spans="1:7" x14ac:dyDescent="0.3">
      <c r="A15" s="4" t="s">
        <v>96</v>
      </c>
      <c r="B15" s="7">
        <v>1334</v>
      </c>
      <c r="C15" s="7">
        <v>1325</v>
      </c>
      <c r="D15" s="7">
        <v>37</v>
      </c>
      <c r="E15" s="7">
        <v>1032</v>
      </c>
      <c r="F15" s="7">
        <v>3728</v>
      </c>
    </row>
    <row r="16" spans="1:7" x14ac:dyDescent="0.3">
      <c r="A16" s="4" t="s">
        <v>97</v>
      </c>
      <c r="B16" s="7">
        <v>1058</v>
      </c>
      <c r="C16" s="7">
        <v>76</v>
      </c>
      <c r="D16" s="7">
        <v>1665</v>
      </c>
      <c r="E16" s="7">
        <v>190</v>
      </c>
      <c r="F16" s="7">
        <v>2989</v>
      </c>
    </row>
    <row r="17" spans="1:9" x14ac:dyDescent="0.3">
      <c r="A17" s="4" t="s">
        <v>98</v>
      </c>
      <c r="B17" s="7">
        <v>37</v>
      </c>
      <c r="C17" s="7">
        <v>1609</v>
      </c>
      <c r="D17" s="7">
        <v>1229</v>
      </c>
      <c r="E17" s="7">
        <v>28</v>
      </c>
      <c r="F17" s="7">
        <v>2903</v>
      </c>
    </row>
    <row r="18" spans="1:9" x14ac:dyDescent="0.3">
      <c r="A18" s="4" t="s">
        <v>99</v>
      </c>
      <c r="B18" s="7">
        <v>1045</v>
      </c>
      <c r="C18" s="7">
        <v>1247</v>
      </c>
      <c r="D18" s="7">
        <v>197</v>
      </c>
      <c r="E18" s="7">
        <v>333</v>
      </c>
      <c r="F18" s="7">
        <v>2822</v>
      </c>
    </row>
    <row r="19" spans="1:9" x14ac:dyDescent="0.3">
      <c r="A19" s="4" t="s">
        <v>100</v>
      </c>
      <c r="B19" s="7">
        <v>1428</v>
      </c>
      <c r="C19" s="7">
        <v>1572</v>
      </c>
      <c r="D19" s="7">
        <v>260</v>
      </c>
      <c r="E19" s="7">
        <v>1100</v>
      </c>
      <c r="F19" s="7">
        <v>4360</v>
      </c>
    </row>
    <row r="20" spans="1:9" x14ac:dyDescent="0.3">
      <c r="A20" s="4" t="s">
        <v>101</v>
      </c>
      <c r="B20" s="7">
        <v>98</v>
      </c>
      <c r="C20" s="7">
        <v>377</v>
      </c>
      <c r="D20" s="7">
        <v>1125</v>
      </c>
      <c r="E20" s="7">
        <v>-32</v>
      </c>
      <c r="F20" s="7">
        <v>1568</v>
      </c>
    </row>
    <row r="21" spans="1:9" x14ac:dyDescent="0.3">
      <c r="A21" s="4" t="s">
        <v>102</v>
      </c>
      <c r="B21" s="7">
        <v>-19</v>
      </c>
      <c r="C21" s="7">
        <v>666</v>
      </c>
      <c r="D21" s="7">
        <v>1680</v>
      </c>
      <c r="E21" s="7">
        <v>1006</v>
      </c>
      <c r="F21" s="7">
        <v>3333</v>
      </c>
    </row>
    <row r="22" spans="1:9" x14ac:dyDescent="0.3">
      <c r="A22" s="4" t="s">
        <v>103</v>
      </c>
      <c r="B22" s="7">
        <v>-179</v>
      </c>
      <c r="C22" s="7">
        <v>1025</v>
      </c>
      <c r="D22" s="7">
        <v>599</v>
      </c>
      <c r="E22" s="7">
        <v>1706</v>
      </c>
      <c r="F22" s="7">
        <v>3151</v>
      </c>
    </row>
    <row r="23" spans="1:9" x14ac:dyDescent="0.3">
      <c r="A23" s="4" t="s">
        <v>104</v>
      </c>
      <c r="B23" s="7">
        <v>1662</v>
      </c>
      <c r="C23" s="7">
        <v>1872</v>
      </c>
      <c r="D23" s="7">
        <v>107</v>
      </c>
      <c r="E23" s="7">
        <v>118</v>
      </c>
      <c r="F23" s="7">
        <v>3759</v>
      </c>
    </row>
    <row r="24" spans="1:9" x14ac:dyDescent="0.3">
      <c r="A24" s="4" t="s">
        <v>105</v>
      </c>
      <c r="B24" s="7">
        <v>285</v>
      </c>
      <c r="C24" s="7">
        <v>1224</v>
      </c>
      <c r="D24" s="7">
        <v>-20</v>
      </c>
      <c r="E24" s="7">
        <v>367</v>
      </c>
      <c r="F24" s="7">
        <v>1856</v>
      </c>
    </row>
    <row r="25" spans="1:9" x14ac:dyDescent="0.3">
      <c r="A25" s="4" t="s">
        <v>106</v>
      </c>
      <c r="B25" s="7">
        <v>439</v>
      </c>
      <c r="C25" s="7">
        <v>262</v>
      </c>
      <c r="D25" s="7">
        <v>636</v>
      </c>
      <c r="E25" s="7">
        <v>1484</v>
      </c>
      <c r="F25" s="7">
        <v>2821</v>
      </c>
    </row>
    <row r="26" spans="1:9" x14ac:dyDescent="0.3">
      <c r="A26" s="4" t="s">
        <v>107</v>
      </c>
      <c r="B26" s="7">
        <v>386</v>
      </c>
      <c r="C26" s="7">
        <v>576</v>
      </c>
      <c r="D26" s="7">
        <v>37</v>
      </c>
      <c r="E26" s="7">
        <v>1657</v>
      </c>
      <c r="F26" s="7">
        <v>2656</v>
      </c>
    </row>
    <row r="27" spans="1:9" x14ac:dyDescent="0.3">
      <c r="A27" s="4" t="s">
        <v>108</v>
      </c>
      <c r="B27" s="7">
        <v>540</v>
      </c>
      <c r="C27" s="7">
        <v>1397</v>
      </c>
      <c r="D27" s="7">
        <v>1603</v>
      </c>
      <c r="E27" s="7">
        <v>1044</v>
      </c>
      <c r="F27" s="7">
        <v>4584</v>
      </c>
    </row>
    <row r="28" spans="1:9" x14ac:dyDescent="0.3">
      <c r="A28" s="4" t="s">
        <v>109</v>
      </c>
      <c r="B28" s="7">
        <v>-106</v>
      </c>
      <c r="C28" s="7">
        <v>902</v>
      </c>
      <c r="D28" s="7">
        <v>1150</v>
      </c>
      <c r="E28" s="7">
        <v>349</v>
      </c>
      <c r="F28" s="7">
        <v>2295</v>
      </c>
    </row>
    <row r="29" spans="1:9" x14ac:dyDescent="0.3">
      <c r="A29" s="4" t="s">
        <v>110</v>
      </c>
      <c r="B29" s="7">
        <v>72</v>
      </c>
      <c r="C29" s="7">
        <v>-49</v>
      </c>
      <c r="D29" s="7">
        <v>445</v>
      </c>
      <c r="E29" s="7">
        <v>60</v>
      </c>
      <c r="F29" s="7">
        <v>528</v>
      </c>
    </row>
    <row r="30" spans="1:9" x14ac:dyDescent="0.3">
      <c r="A30" s="4" t="s">
        <v>111</v>
      </c>
      <c r="B30" s="7">
        <v>1332</v>
      </c>
      <c r="C30" s="7">
        <v>1693</v>
      </c>
      <c r="D30" s="7">
        <v>98</v>
      </c>
      <c r="E30" s="7">
        <v>885</v>
      </c>
      <c r="F30" s="7">
        <v>4008</v>
      </c>
    </row>
    <row r="31" spans="1:9" x14ac:dyDescent="0.3">
      <c r="A31" s="4" t="s">
        <v>112</v>
      </c>
      <c r="B31" s="7">
        <v>1706</v>
      </c>
      <c r="C31" s="7">
        <v>1625</v>
      </c>
      <c r="D31" s="7">
        <v>1173</v>
      </c>
      <c r="E31" s="7">
        <v>291</v>
      </c>
      <c r="F31" s="7">
        <v>4795</v>
      </c>
    </row>
    <row r="32" spans="1:9" x14ac:dyDescent="0.3">
      <c r="A32" s="4" t="s">
        <v>113</v>
      </c>
      <c r="B32" s="7">
        <v>1373</v>
      </c>
      <c r="C32" s="7">
        <v>1119</v>
      </c>
      <c r="D32" s="7">
        <v>1727</v>
      </c>
      <c r="E32" s="7">
        <v>573</v>
      </c>
      <c r="F32" s="7">
        <v>4792</v>
      </c>
      <c r="H32" s="108" t="s">
        <v>81</v>
      </c>
      <c r="I32" s="109"/>
    </row>
    <row r="33" spans="1:15" x14ac:dyDescent="0.3">
      <c r="A33" s="4" t="s">
        <v>114</v>
      </c>
      <c r="B33" s="7">
        <v>1377</v>
      </c>
      <c r="C33" s="7">
        <v>1432</v>
      </c>
      <c r="D33" s="7">
        <v>1359</v>
      </c>
      <c r="E33" s="7">
        <v>876</v>
      </c>
      <c r="F33" s="7">
        <v>5044</v>
      </c>
      <c r="H33" s="110"/>
      <c r="I33" s="111"/>
    </row>
    <row r="34" spans="1:15" x14ac:dyDescent="0.3">
      <c r="A34" s="4" t="s">
        <v>115</v>
      </c>
      <c r="B34" s="7">
        <v>730</v>
      </c>
      <c r="C34" s="7">
        <v>684</v>
      </c>
      <c r="D34" s="7">
        <v>911</v>
      </c>
      <c r="E34" s="7">
        <v>1589</v>
      </c>
      <c r="F34" s="7">
        <v>3914</v>
      </c>
      <c r="H34" s="56" t="s">
        <v>116</v>
      </c>
      <c r="I34" s="57"/>
      <c r="J34" s="57"/>
      <c r="K34" s="57"/>
      <c r="L34" s="57"/>
      <c r="M34" s="57"/>
      <c r="N34" s="57"/>
      <c r="O34" s="58"/>
    </row>
    <row r="35" spans="1:15" x14ac:dyDescent="0.3">
      <c r="A35" s="4" t="s">
        <v>117</v>
      </c>
      <c r="B35" s="7">
        <v>1776</v>
      </c>
      <c r="C35" s="7">
        <v>1765</v>
      </c>
      <c r="D35" s="7">
        <v>1529</v>
      </c>
      <c r="E35" s="7">
        <v>1460</v>
      </c>
      <c r="F35" s="7">
        <v>6530</v>
      </c>
      <c r="H35" s="59"/>
      <c r="I35" s="60"/>
      <c r="J35" s="60"/>
      <c r="K35" s="60"/>
      <c r="L35" s="60"/>
      <c r="M35" s="60"/>
      <c r="N35" s="60"/>
      <c r="O35" s="61"/>
    </row>
    <row r="36" spans="1:15" x14ac:dyDescent="0.3">
      <c r="A36" s="4" t="s">
        <v>118</v>
      </c>
      <c r="B36" s="7">
        <v>620</v>
      </c>
      <c r="C36" s="7">
        <v>903</v>
      </c>
      <c r="D36" s="7">
        <v>1188</v>
      </c>
      <c r="E36" s="7">
        <v>846</v>
      </c>
      <c r="F36" s="7">
        <v>3557</v>
      </c>
      <c r="H36" s="62"/>
      <c r="I36" s="63"/>
      <c r="J36" s="63"/>
      <c r="K36" s="63"/>
      <c r="L36" s="63"/>
      <c r="M36" s="63"/>
      <c r="N36" s="63"/>
      <c r="O36" s="64"/>
    </row>
    <row r="37" spans="1:15" x14ac:dyDescent="0.3">
      <c r="A37" s="4" t="s">
        <v>119</v>
      </c>
      <c r="B37" s="7">
        <v>298</v>
      </c>
      <c r="C37" s="7">
        <v>1722</v>
      </c>
      <c r="D37" s="7">
        <v>-144</v>
      </c>
      <c r="E37" s="7">
        <v>901</v>
      </c>
      <c r="F37" s="7">
        <v>2777</v>
      </c>
    </row>
    <row r="38" spans="1:15" x14ac:dyDescent="0.3">
      <c r="A38" s="4" t="s">
        <v>120</v>
      </c>
      <c r="B38" s="7">
        <v>427</v>
      </c>
      <c r="C38" s="7">
        <v>1572</v>
      </c>
      <c r="D38" s="7">
        <v>891</v>
      </c>
      <c r="E38" s="7">
        <v>724</v>
      </c>
      <c r="F38" s="7">
        <v>3614</v>
      </c>
    </row>
    <row r="39" spans="1:15" x14ac:dyDescent="0.3">
      <c r="A39" s="4" t="s">
        <v>121</v>
      </c>
      <c r="B39" s="7">
        <v>898</v>
      </c>
      <c r="C39" s="7">
        <v>-166</v>
      </c>
      <c r="D39" s="7">
        <v>1426</v>
      </c>
      <c r="E39" s="7">
        <v>1225</v>
      </c>
      <c r="F39" s="7">
        <v>3383</v>
      </c>
    </row>
    <row r="40" spans="1:15" x14ac:dyDescent="0.3">
      <c r="A40" s="4" t="s">
        <v>122</v>
      </c>
      <c r="B40" s="7">
        <v>748</v>
      </c>
      <c r="C40" s="7">
        <v>1080</v>
      </c>
      <c r="D40" s="7">
        <v>569</v>
      </c>
      <c r="E40" s="7">
        <v>-203</v>
      </c>
      <c r="F40" s="7">
        <v>2194</v>
      </c>
    </row>
    <row r="41" spans="1:15" x14ac:dyDescent="0.3">
      <c r="A41" s="4" t="s">
        <v>123</v>
      </c>
      <c r="B41" s="7">
        <v>912</v>
      </c>
      <c r="C41" s="7">
        <v>1723</v>
      </c>
      <c r="D41" s="7">
        <v>1202</v>
      </c>
      <c r="E41" s="7">
        <v>1444</v>
      </c>
      <c r="F41" s="7">
        <v>5281</v>
      </c>
    </row>
    <row r="42" spans="1:15" x14ac:dyDescent="0.3">
      <c r="A42" s="4" t="s">
        <v>124</v>
      </c>
      <c r="B42" s="7">
        <v>1590</v>
      </c>
      <c r="C42" s="7">
        <v>965</v>
      </c>
      <c r="D42" s="7">
        <v>-37</v>
      </c>
      <c r="E42" s="7">
        <v>1175</v>
      </c>
      <c r="F42" s="7">
        <v>3693</v>
      </c>
    </row>
    <row r="43" spans="1:15" x14ac:dyDescent="0.3">
      <c r="A43" s="4" t="s">
        <v>125</v>
      </c>
      <c r="B43" s="7">
        <v>1707</v>
      </c>
      <c r="C43" s="7">
        <v>1375</v>
      </c>
      <c r="D43" s="7">
        <v>708</v>
      </c>
      <c r="E43" s="7">
        <v>1016</v>
      </c>
      <c r="F43" s="7">
        <v>4806</v>
      </c>
    </row>
    <row r="44" spans="1:15" x14ac:dyDescent="0.3">
      <c r="A44" s="4" t="s">
        <v>126</v>
      </c>
      <c r="B44" s="7">
        <v>-119</v>
      </c>
      <c r="C44" s="7">
        <v>1315</v>
      </c>
      <c r="D44" s="7">
        <v>899</v>
      </c>
      <c r="E44" s="7">
        <v>315</v>
      </c>
      <c r="F44" s="7">
        <v>2410</v>
      </c>
    </row>
    <row r="45" spans="1:15" x14ac:dyDescent="0.3">
      <c r="A45" s="4" t="s">
        <v>127</v>
      </c>
      <c r="B45" s="7">
        <v>908</v>
      </c>
      <c r="C45" s="7">
        <v>212</v>
      </c>
      <c r="D45" s="7">
        <v>1350</v>
      </c>
      <c r="E45" s="7">
        <v>1242</v>
      </c>
      <c r="F45" s="7">
        <v>3712</v>
      </c>
    </row>
    <row r="46" spans="1:15" x14ac:dyDescent="0.3">
      <c r="A46" s="4" t="s">
        <v>128</v>
      </c>
      <c r="B46" s="7">
        <v>1116</v>
      </c>
      <c r="C46" s="7">
        <v>680</v>
      </c>
      <c r="D46" s="7">
        <v>861</v>
      </c>
      <c r="E46" s="7">
        <v>1385</v>
      </c>
      <c r="F46" s="7">
        <v>4042</v>
      </c>
    </row>
    <row r="47" spans="1:15" x14ac:dyDescent="0.3">
      <c r="A47" s="4" t="s">
        <v>129</v>
      </c>
      <c r="B47" s="7">
        <v>474</v>
      </c>
      <c r="C47" s="7">
        <v>461</v>
      </c>
      <c r="D47" s="7">
        <v>292</v>
      </c>
      <c r="E47" s="7">
        <v>389</v>
      </c>
      <c r="F47" s="7">
        <v>1616</v>
      </c>
    </row>
    <row r="48" spans="1:15" x14ac:dyDescent="0.3">
      <c r="A48" s="4" t="s">
        <v>130</v>
      </c>
      <c r="B48" s="7">
        <v>514</v>
      </c>
      <c r="C48" s="7">
        <v>641</v>
      </c>
      <c r="D48" s="7">
        <v>1676</v>
      </c>
      <c r="E48" s="7">
        <v>1467</v>
      </c>
      <c r="F48" s="7">
        <v>4298</v>
      </c>
    </row>
    <row r="49" spans="1:7" x14ac:dyDescent="0.3">
      <c r="A49" s="4" t="s">
        <v>131</v>
      </c>
      <c r="B49" s="7">
        <v>1029</v>
      </c>
      <c r="C49" s="7">
        <v>167</v>
      </c>
      <c r="D49" s="7">
        <v>1007</v>
      </c>
      <c r="E49" s="7">
        <v>209</v>
      </c>
      <c r="F49" s="7">
        <v>2412</v>
      </c>
    </row>
    <row r="50" spans="1:7" x14ac:dyDescent="0.3">
      <c r="A50" s="4" t="s">
        <v>132</v>
      </c>
      <c r="B50" s="7">
        <v>-175</v>
      </c>
      <c r="C50" s="7">
        <v>-160</v>
      </c>
      <c r="D50" s="7">
        <v>53</v>
      </c>
      <c r="E50" s="7">
        <v>145</v>
      </c>
      <c r="F50" s="7">
        <v>-137</v>
      </c>
    </row>
    <row r="51" spans="1:7" x14ac:dyDescent="0.3">
      <c r="A51" s="4" t="s">
        <v>133</v>
      </c>
      <c r="B51" s="7">
        <v>1045</v>
      </c>
      <c r="C51" s="7">
        <v>603</v>
      </c>
      <c r="D51" s="7">
        <v>759</v>
      </c>
      <c r="E51" s="7">
        <v>1633</v>
      </c>
      <c r="F51" s="7">
        <v>4040</v>
      </c>
    </row>
    <row r="52" spans="1:7" x14ac:dyDescent="0.3">
      <c r="A52" s="4" t="s">
        <v>134</v>
      </c>
      <c r="B52" s="7">
        <v>453</v>
      </c>
      <c r="C52" s="7">
        <v>1539</v>
      </c>
      <c r="D52" s="7">
        <v>948</v>
      </c>
      <c r="E52" s="7">
        <v>637</v>
      </c>
      <c r="F52" s="7">
        <v>3577</v>
      </c>
    </row>
    <row r="53" spans="1:7" x14ac:dyDescent="0.3">
      <c r="A53" s="4" t="s">
        <v>135</v>
      </c>
      <c r="B53" s="7">
        <v>339</v>
      </c>
      <c r="C53" s="7">
        <v>1881</v>
      </c>
      <c r="D53" s="7">
        <v>1510</v>
      </c>
      <c r="E53" s="7">
        <v>864</v>
      </c>
      <c r="F53" s="7">
        <v>4594</v>
      </c>
    </row>
    <row r="54" spans="1:7" x14ac:dyDescent="0.3">
      <c r="A54" s="4" t="s">
        <v>136</v>
      </c>
      <c r="B54" s="7">
        <v>407</v>
      </c>
      <c r="C54" s="7">
        <v>1656</v>
      </c>
      <c r="D54" s="7">
        <v>269</v>
      </c>
      <c r="E54" s="7">
        <v>-337</v>
      </c>
      <c r="F54" s="7">
        <v>1995</v>
      </c>
    </row>
    <row r="55" spans="1:7" x14ac:dyDescent="0.3">
      <c r="A55" s="4" t="s">
        <v>6</v>
      </c>
      <c r="B55" s="7">
        <v>35557</v>
      </c>
      <c r="C55" s="7">
        <v>48004</v>
      </c>
      <c r="D55" s="7">
        <v>41177</v>
      </c>
      <c r="E55" s="7">
        <v>35367</v>
      </c>
      <c r="F55" s="7">
        <v>160105</v>
      </c>
    </row>
    <row r="63" spans="1:7" x14ac:dyDescent="0.3">
      <c r="A63" s="46" t="s">
        <v>85</v>
      </c>
      <c r="B63" s="46" t="s">
        <v>2</v>
      </c>
      <c r="C63" s="46" t="s">
        <v>3</v>
      </c>
      <c r="D63" s="46" t="s">
        <v>4</v>
      </c>
      <c r="E63" s="46" t="s">
        <v>5</v>
      </c>
      <c r="F63" s="46" t="s">
        <v>6</v>
      </c>
      <c r="G63" s="46" t="s">
        <v>137</v>
      </c>
    </row>
    <row r="64" spans="1:7" x14ac:dyDescent="0.3">
      <c r="A64" s="4" t="s">
        <v>86</v>
      </c>
      <c r="B64" s="4">
        <v>1002</v>
      </c>
      <c r="C64" s="4">
        <v>1047</v>
      </c>
      <c r="D64" s="4">
        <v>415</v>
      </c>
      <c r="E64" s="4">
        <v>1090</v>
      </c>
      <c r="F64" s="4">
        <v>3554</v>
      </c>
    </row>
    <row r="65" spans="1:10" x14ac:dyDescent="0.3">
      <c r="A65" s="4" t="s">
        <v>87</v>
      </c>
      <c r="B65" s="4">
        <v>1283</v>
      </c>
      <c r="C65" s="4">
        <v>517</v>
      </c>
      <c r="D65" s="4">
        <v>186</v>
      </c>
      <c r="E65" s="4">
        <v>994</v>
      </c>
      <c r="F65" s="4">
        <v>2980</v>
      </c>
    </row>
    <row r="66" spans="1:10" x14ac:dyDescent="0.3">
      <c r="A66" s="4" t="s">
        <v>88</v>
      </c>
      <c r="B66" s="4">
        <v>1382</v>
      </c>
      <c r="C66" s="4">
        <v>893</v>
      </c>
      <c r="D66" s="4">
        <v>1295</v>
      </c>
      <c r="E66" s="4">
        <v>337</v>
      </c>
      <c r="F66" s="4">
        <v>3907</v>
      </c>
    </row>
    <row r="67" spans="1:10" x14ac:dyDescent="0.3">
      <c r="A67" s="4" t="s">
        <v>89</v>
      </c>
      <c r="B67" s="4">
        <v>1670</v>
      </c>
      <c r="C67" s="4">
        <v>629</v>
      </c>
      <c r="D67" s="4">
        <v>835</v>
      </c>
      <c r="E67" s="4">
        <v>-123</v>
      </c>
      <c r="F67" s="4">
        <v>3011</v>
      </c>
      <c r="G67" s="7">
        <f>AVERAGE(F64:F66)</f>
        <v>3480.3333333333335</v>
      </c>
      <c r="J67" s="4" t="s">
        <v>138</v>
      </c>
    </row>
    <row r="68" spans="1:10" x14ac:dyDescent="0.3">
      <c r="A68" s="4" t="s">
        <v>90</v>
      </c>
      <c r="B68" s="4">
        <v>64</v>
      </c>
      <c r="C68" s="4">
        <v>-219</v>
      </c>
      <c r="D68" s="4">
        <v>1357</v>
      </c>
      <c r="E68" s="4">
        <v>91</v>
      </c>
      <c r="F68" s="4">
        <v>1293</v>
      </c>
      <c r="G68" s="7">
        <f t="shared" ref="G68:G113" si="0">AVERAGE(F65:F67)</f>
        <v>3299.3333333333335</v>
      </c>
    </row>
    <row r="69" spans="1:10" x14ac:dyDescent="0.3">
      <c r="A69" s="4" t="s">
        <v>91</v>
      </c>
      <c r="B69" s="4">
        <v>309</v>
      </c>
      <c r="C69" s="4">
        <v>1672</v>
      </c>
      <c r="D69" s="4">
        <v>547</v>
      </c>
      <c r="E69" s="4">
        <v>514</v>
      </c>
      <c r="F69" s="4">
        <v>3042</v>
      </c>
      <c r="G69" s="7">
        <f t="shared" si="0"/>
        <v>2737</v>
      </c>
    </row>
    <row r="70" spans="1:10" x14ac:dyDescent="0.3">
      <c r="A70" s="4" t="s">
        <v>92</v>
      </c>
      <c r="B70" s="4">
        <v>-164</v>
      </c>
      <c r="C70" s="4">
        <v>1845</v>
      </c>
      <c r="D70" s="4">
        <v>429</v>
      </c>
      <c r="E70" s="4">
        <v>160</v>
      </c>
      <c r="F70" s="4">
        <v>2270</v>
      </c>
      <c r="G70" s="7">
        <f t="shared" si="0"/>
        <v>2448.6666666666665</v>
      </c>
    </row>
    <row r="71" spans="1:10" x14ac:dyDescent="0.3">
      <c r="A71" s="4" t="s">
        <v>93</v>
      </c>
      <c r="B71" s="4">
        <v>961</v>
      </c>
      <c r="C71" s="4">
        <v>159</v>
      </c>
      <c r="D71" s="4">
        <v>1316</v>
      </c>
      <c r="E71" s="4">
        <v>317</v>
      </c>
      <c r="F71" s="4">
        <v>2753</v>
      </c>
      <c r="G71" s="7">
        <f t="shared" si="0"/>
        <v>2201.6666666666665</v>
      </c>
    </row>
    <row r="72" spans="1:10" x14ac:dyDescent="0.3">
      <c r="A72" s="4" t="s">
        <v>94</v>
      </c>
      <c r="B72" s="4">
        <v>-318</v>
      </c>
      <c r="C72" s="4">
        <v>541</v>
      </c>
      <c r="D72" s="4">
        <v>1495</v>
      </c>
      <c r="E72" s="4">
        <v>475</v>
      </c>
      <c r="F72" s="4">
        <v>2193</v>
      </c>
      <c r="G72" s="7">
        <f t="shared" si="0"/>
        <v>2688.3333333333335</v>
      </c>
    </row>
    <row r="73" spans="1:10" x14ac:dyDescent="0.3">
      <c r="A73" s="4" t="s">
        <v>95</v>
      </c>
      <c r="B73" s="4">
        <v>-197</v>
      </c>
      <c r="C73" s="4">
        <v>352</v>
      </c>
      <c r="D73" s="4">
        <v>328</v>
      </c>
      <c r="E73" s="4">
        <v>319</v>
      </c>
      <c r="F73" s="4">
        <v>802</v>
      </c>
      <c r="G73" s="7">
        <f t="shared" si="0"/>
        <v>2405.3333333333335</v>
      </c>
    </row>
    <row r="74" spans="1:10" x14ac:dyDescent="0.3">
      <c r="A74" s="4" t="s">
        <v>96</v>
      </c>
      <c r="B74" s="4">
        <v>1334</v>
      </c>
      <c r="C74" s="4">
        <v>1325</v>
      </c>
      <c r="D74" s="4">
        <v>37</v>
      </c>
      <c r="E74" s="4">
        <v>1032</v>
      </c>
      <c r="F74" s="4">
        <v>3728</v>
      </c>
      <c r="G74" s="7">
        <f t="shared" si="0"/>
        <v>1916</v>
      </c>
    </row>
    <row r="75" spans="1:10" x14ac:dyDescent="0.3">
      <c r="A75" s="4" t="s">
        <v>97</v>
      </c>
      <c r="B75" s="4">
        <v>1058</v>
      </c>
      <c r="C75" s="4">
        <v>76</v>
      </c>
      <c r="D75" s="4">
        <v>1665</v>
      </c>
      <c r="E75" s="4">
        <v>190</v>
      </c>
      <c r="F75" s="4">
        <v>2989</v>
      </c>
      <c r="G75" s="7">
        <f t="shared" si="0"/>
        <v>2241</v>
      </c>
    </row>
    <row r="76" spans="1:10" x14ac:dyDescent="0.3">
      <c r="A76" s="4" t="s">
        <v>98</v>
      </c>
      <c r="B76" s="4">
        <v>37</v>
      </c>
      <c r="C76" s="4">
        <v>1609</v>
      </c>
      <c r="D76" s="4">
        <v>1229</v>
      </c>
      <c r="E76" s="4">
        <v>28</v>
      </c>
      <c r="F76" s="4">
        <v>2903</v>
      </c>
      <c r="G76" s="7">
        <f t="shared" si="0"/>
        <v>2506.3333333333335</v>
      </c>
    </row>
    <row r="77" spans="1:10" x14ac:dyDescent="0.3">
      <c r="A77" s="4" t="s">
        <v>99</v>
      </c>
      <c r="B77" s="4">
        <v>1045</v>
      </c>
      <c r="C77" s="4">
        <v>1247</v>
      </c>
      <c r="D77" s="4">
        <v>197</v>
      </c>
      <c r="E77" s="4">
        <v>333</v>
      </c>
      <c r="F77" s="4">
        <v>2822</v>
      </c>
      <c r="G77" s="7">
        <f t="shared" si="0"/>
        <v>3206.6666666666665</v>
      </c>
    </row>
    <row r="78" spans="1:10" x14ac:dyDescent="0.3">
      <c r="A78" s="4" t="s">
        <v>100</v>
      </c>
      <c r="B78" s="4">
        <v>1428</v>
      </c>
      <c r="C78" s="4">
        <v>1572</v>
      </c>
      <c r="D78" s="4">
        <v>260</v>
      </c>
      <c r="E78" s="4">
        <v>1100</v>
      </c>
      <c r="F78" s="4">
        <v>4360</v>
      </c>
      <c r="G78" s="7">
        <f t="shared" si="0"/>
        <v>2904.6666666666665</v>
      </c>
    </row>
    <row r="79" spans="1:10" x14ac:dyDescent="0.3">
      <c r="A79" s="4" t="s">
        <v>101</v>
      </c>
      <c r="B79" s="4">
        <v>98</v>
      </c>
      <c r="C79" s="4">
        <v>377</v>
      </c>
      <c r="D79" s="4">
        <v>1125</v>
      </c>
      <c r="E79" s="4">
        <v>-32</v>
      </c>
      <c r="F79" s="4">
        <v>1568</v>
      </c>
      <c r="G79" s="7">
        <f t="shared" si="0"/>
        <v>3361.6666666666665</v>
      </c>
    </row>
    <row r="80" spans="1:10" x14ac:dyDescent="0.3">
      <c r="A80" s="4" t="s">
        <v>102</v>
      </c>
      <c r="B80" s="4">
        <v>-19</v>
      </c>
      <c r="C80" s="4">
        <v>666</v>
      </c>
      <c r="D80" s="4">
        <v>1680</v>
      </c>
      <c r="E80" s="4">
        <v>1006</v>
      </c>
      <c r="F80" s="4">
        <v>3333</v>
      </c>
      <c r="G80" s="7">
        <f t="shared" si="0"/>
        <v>2916.6666666666665</v>
      </c>
    </row>
    <row r="81" spans="1:7" x14ac:dyDescent="0.3">
      <c r="A81" s="4" t="s">
        <v>103</v>
      </c>
      <c r="B81" s="4">
        <v>-179</v>
      </c>
      <c r="C81" s="4">
        <v>1025</v>
      </c>
      <c r="D81" s="4">
        <v>599</v>
      </c>
      <c r="E81" s="4">
        <v>1706</v>
      </c>
      <c r="F81" s="4">
        <v>3151</v>
      </c>
      <c r="G81" s="7">
        <f t="shared" si="0"/>
        <v>3087</v>
      </c>
    </row>
    <row r="82" spans="1:7" x14ac:dyDescent="0.3">
      <c r="A82" s="4" t="s">
        <v>104</v>
      </c>
      <c r="B82" s="4">
        <v>1662</v>
      </c>
      <c r="C82" s="4">
        <v>1872</v>
      </c>
      <c r="D82" s="4">
        <v>107</v>
      </c>
      <c r="E82" s="4">
        <v>118</v>
      </c>
      <c r="F82" s="4">
        <v>3759</v>
      </c>
      <c r="G82" s="7">
        <f t="shared" si="0"/>
        <v>2684</v>
      </c>
    </row>
    <row r="83" spans="1:7" x14ac:dyDescent="0.3">
      <c r="A83" s="4" t="s">
        <v>105</v>
      </c>
      <c r="B83" s="4">
        <v>285</v>
      </c>
      <c r="C83" s="4">
        <v>1224</v>
      </c>
      <c r="D83" s="4">
        <v>-20</v>
      </c>
      <c r="E83" s="4">
        <v>367</v>
      </c>
      <c r="F83" s="4">
        <v>1856</v>
      </c>
      <c r="G83" s="7">
        <f t="shared" si="0"/>
        <v>3414.3333333333335</v>
      </c>
    </row>
    <row r="84" spans="1:7" x14ac:dyDescent="0.3">
      <c r="A84" s="4" t="s">
        <v>106</v>
      </c>
      <c r="B84" s="4">
        <v>439</v>
      </c>
      <c r="C84" s="4">
        <v>262</v>
      </c>
      <c r="D84" s="4">
        <v>636</v>
      </c>
      <c r="E84" s="4">
        <v>1484</v>
      </c>
      <c r="F84" s="4">
        <v>2821</v>
      </c>
      <c r="G84" s="7">
        <f t="shared" si="0"/>
        <v>2922</v>
      </c>
    </row>
    <row r="85" spans="1:7" x14ac:dyDescent="0.3">
      <c r="A85" s="4" t="s">
        <v>107</v>
      </c>
      <c r="B85" s="4">
        <v>386</v>
      </c>
      <c r="C85" s="4">
        <v>576</v>
      </c>
      <c r="D85" s="4">
        <v>37</v>
      </c>
      <c r="E85" s="4">
        <v>1657</v>
      </c>
      <c r="F85" s="4">
        <v>2656</v>
      </c>
      <c r="G85" s="7">
        <f t="shared" si="0"/>
        <v>2812</v>
      </c>
    </row>
    <row r="86" spans="1:7" x14ac:dyDescent="0.3">
      <c r="A86" s="4" t="s">
        <v>108</v>
      </c>
      <c r="B86" s="4">
        <v>540</v>
      </c>
      <c r="C86" s="4">
        <v>1397</v>
      </c>
      <c r="D86" s="4">
        <v>1603</v>
      </c>
      <c r="E86" s="4">
        <v>1044</v>
      </c>
      <c r="F86" s="4">
        <v>4584</v>
      </c>
      <c r="G86" s="7">
        <f t="shared" si="0"/>
        <v>2444.3333333333335</v>
      </c>
    </row>
    <row r="87" spans="1:7" x14ac:dyDescent="0.3">
      <c r="A87" s="4" t="s">
        <v>109</v>
      </c>
      <c r="B87" s="4">
        <v>-106</v>
      </c>
      <c r="C87" s="4">
        <v>902</v>
      </c>
      <c r="D87" s="4">
        <v>1150</v>
      </c>
      <c r="E87" s="4">
        <v>349</v>
      </c>
      <c r="F87" s="4">
        <v>2295</v>
      </c>
      <c r="G87" s="7">
        <f t="shared" si="0"/>
        <v>3353.6666666666665</v>
      </c>
    </row>
    <row r="88" spans="1:7" x14ac:dyDescent="0.3">
      <c r="A88" s="4" t="s">
        <v>110</v>
      </c>
      <c r="B88" s="4">
        <v>72</v>
      </c>
      <c r="C88" s="4">
        <v>-49</v>
      </c>
      <c r="D88" s="4">
        <v>445</v>
      </c>
      <c r="E88" s="4">
        <v>60</v>
      </c>
      <c r="F88" s="4">
        <v>528</v>
      </c>
      <c r="G88" s="7">
        <f t="shared" si="0"/>
        <v>3178.3333333333335</v>
      </c>
    </row>
    <row r="89" spans="1:7" x14ac:dyDescent="0.3">
      <c r="A89" s="4" t="s">
        <v>111</v>
      </c>
      <c r="B89" s="4">
        <v>1332</v>
      </c>
      <c r="C89" s="4">
        <v>1693</v>
      </c>
      <c r="D89" s="4">
        <v>98</v>
      </c>
      <c r="E89" s="4">
        <v>885</v>
      </c>
      <c r="F89" s="4">
        <v>4008</v>
      </c>
      <c r="G89" s="7">
        <f t="shared" si="0"/>
        <v>2469</v>
      </c>
    </row>
    <row r="90" spans="1:7" x14ac:dyDescent="0.3">
      <c r="A90" s="4" t="s">
        <v>112</v>
      </c>
      <c r="B90" s="4">
        <v>1706</v>
      </c>
      <c r="C90" s="4">
        <v>1625</v>
      </c>
      <c r="D90" s="4">
        <v>1173</v>
      </c>
      <c r="E90" s="4">
        <v>291</v>
      </c>
      <c r="F90" s="4">
        <v>4795</v>
      </c>
      <c r="G90" s="7">
        <f t="shared" si="0"/>
        <v>2277</v>
      </c>
    </row>
    <row r="91" spans="1:7" x14ac:dyDescent="0.3">
      <c r="A91" s="4" t="s">
        <v>113</v>
      </c>
      <c r="B91" s="4">
        <v>1373</v>
      </c>
      <c r="C91" s="4">
        <v>1119</v>
      </c>
      <c r="D91" s="4">
        <v>1727</v>
      </c>
      <c r="E91" s="4">
        <v>573</v>
      </c>
      <c r="F91" s="4">
        <v>4792</v>
      </c>
      <c r="G91" s="7">
        <f t="shared" si="0"/>
        <v>3110.3333333333335</v>
      </c>
    </row>
    <row r="92" spans="1:7" x14ac:dyDescent="0.3">
      <c r="A92" s="4" t="s">
        <v>114</v>
      </c>
      <c r="B92" s="4">
        <v>1377</v>
      </c>
      <c r="C92" s="4">
        <v>1432</v>
      </c>
      <c r="D92" s="4">
        <v>1359</v>
      </c>
      <c r="E92" s="4">
        <v>876</v>
      </c>
      <c r="F92" s="4">
        <v>5044</v>
      </c>
      <c r="G92" s="7">
        <f t="shared" si="0"/>
        <v>4531.666666666667</v>
      </c>
    </row>
    <row r="93" spans="1:7" x14ac:dyDescent="0.3">
      <c r="A93" s="4" t="s">
        <v>115</v>
      </c>
      <c r="B93" s="4">
        <v>730</v>
      </c>
      <c r="C93" s="4">
        <v>684</v>
      </c>
      <c r="D93" s="4">
        <v>911</v>
      </c>
      <c r="E93" s="4">
        <v>1589</v>
      </c>
      <c r="F93" s="4">
        <v>3914</v>
      </c>
      <c r="G93" s="7">
        <f t="shared" si="0"/>
        <v>4877</v>
      </c>
    </row>
    <row r="94" spans="1:7" x14ac:dyDescent="0.3">
      <c r="A94" s="4" t="s">
        <v>117</v>
      </c>
      <c r="B94" s="4">
        <v>1776</v>
      </c>
      <c r="C94" s="4">
        <v>1765</v>
      </c>
      <c r="D94" s="4">
        <v>1529</v>
      </c>
      <c r="E94" s="4">
        <v>1460</v>
      </c>
      <c r="F94" s="4">
        <v>6530</v>
      </c>
      <c r="G94" s="7">
        <f t="shared" si="0"/>
        <v>4583.333333333333</v>
      </c>
    </row>
    <row r="95" spans="1:7" x14ac:dyDescent="0.3">
      <c r="A95" s="4" t="s">
        <v>118</v>
      </c>
      <c r="B95" s="4">
        <v>620</v>
      </c>
      <c r="C95" s="4">
        <v>903</v>
      </c>
      <c r="D95" s="4">
        <v>1188</v>
      </c>
      <c r="E95" s="4">
        <v>846</v>
      </c>
      <c r="F95" s="4">
        <v>3557</v>
      </c>
      <c r="G95" s="7">
        <f t="shared" si="0"/>
        <v>5162.666666666667</v>
      </c>
    </row>
    <row r="96" spans="1:7" x14ac:dyDescent="0.3">
      <c r="A96" s="4" t="s">
        <v>119</v>
      </c>
      <c r="B96" s="4">
        <v>298</v>
      </c>
      <c r="C96" s="4">
        <v>1722</v>
      </c>
      <c r="D96" s="4">
        <v>-144</v>
      </c>
      <c r="E96" s="4">
        <v>901</v>
      </c>
      <c r="F96" s="4">
        <v>2777</v>
      </c>
      <c r="G96" s="7">
        <f t="shared" si="0"/>
        <v>4667</v>
      </c>
    </row>
    <row r="97" spans="1:7" x14ac:dyDescent="0.3">
      <c r="A97" s="4" t="s">
        <v>120</v>
      </c>
      <c r="B97" s="4">
        <v>427</v>
      </c>
      <c r="C97" s="4">
        <v>1572</v>
      </c>
      <c r="D97" s="4">
        <v>891</v>
      </c>
      <c r="E97" s="4">
        <v>724</v>
      </c>
      <c r="F97" s="4">
        <v>3614</v>
      </c>
      <c r="G97" s="7">
        <f t="shared" si="0"/>
        <v>4288</v>
      </c>
    </row>
    <row r="98" spans="1:7" x14ac:dyDescent="0.3">
      <c r="A98" s="4" t="s">
        <v>121</v>
      </c>
      <c r="B98" s="4">
        <v>898</v>
      </c>
      <c r="C98" s="4">
        <v>-166</v>
      </c>
      <c r="D98" s="4">
        <v>1426</v>
      </c>
      <c r="E98" s="4">
        <v>1225</v>
      </c>
      <c r="F98" s="4">
        <v>3383</v>
      </c>
      <c r="G98" s="7">
        <f t="shared" si="0"/>
        <v>3316</v>
      </c>
    </row>
    <row r="99" spans="1:7" x14ac:dyDescent="0.3">
      <c r="A99" s="4" t="s">
        <v>122</v>
      </c>
      <c r="B99" s="4">
        <v>748</v>
      </c>
      <c r="C99" s="4">
        <v>1080</v>
      </c>
      <c r="D99" s="4">
        <v>569</v>
      </c>
      <c r="E99" s="4">
        <v>-203</v>
      </c>
      <c r="F99" s="4">
        <v>2194</v>
      </c>
      <c r="G99" s="7">
        <f t="shared" si="0"/>
        <v>3258</v>
      </c>
    </row>
    <row r="100" spans="1:7" x14ac:dyDescent="0.3">
      <c r="A100" s="4" t="s">
        <v>123</v>
      </c>
      <c r="B100" s="4">
        <v>912</v>
      </c>
      <c r="C100" s="4">
        <v>1723</v>
      </c>
      <c r="D100" s="4">
        <v>1202</v>
      </c>
      <c r="E100" s="4">
        <v>1444</v>
      </c>
      <c r="F100" s="4">
        <v>5281</v>
      </c>
      <c r="G100" s="7">
        <f t="shared" si="0"/>
        <v>3063.6666666666665</v>
      </c>
    </row>
    <row r="101" spans="1:7" x14ac:dyDescent="0.3">
      <c r="A101" s="4" t="s">
        <v>124</v>
      </c>
      <c r="B101" s="4">
        <v>1590</v>
      </c>
      <c r="C101" s="4">
        <v>965</v>
      </c>
      <c r="D101" s="4">
        <v>-37</v>
      </c>
      <c r="E101" s="4">
        <v>1175</v>
      </c>
      <c r="F101" s="4">
        <v>3693</v>
      </c>
      <c r="G101" s="7">
        <f t="shared" si="0"/>
        <v>3619.3333333333335</v>
      </c>
    </row>
    <row r="102" spans="1:7" x14ac:dyDescent="0.3">
      <c r="A102" s="4" t="s">
        <v>125</v>
      </c>
      <c r="B102" s="4">
        <v>1707</v>
      </c>
      <c r="C102" s="4">
        <v>1375</v>
      </c>
      <c r="D102" s="4">
        <v>708</v>
      </c>
      <c r="E102" s="4">
        <v>1016</v>
      </c>
      <c r="F102" s="4">
        <v>4806</v>
      </c>
      <c r="G102" s="7">
        <f t="shared" si="0"/>
        <v>3722.6666666666665</v>
      </c>
    </row>
    <row r="103" spans="1:7" x14ac:dyDescent="0.3">
      <c r="A103" s="4" t="s">
        <v>126</v>
      </c>
      <c r="B103" s="4">
        <v>-119</v>
      </c>
      <c r="C103" s="4">
        <v>1315</v>
      </c>
      <c r="D103" s="4">
        <v>899</v>
      </c>
      <c r="E103" s="4">
        <v>315</v>
      </c>
      <c r="F103" s="4">
        <v>2410</v>
      </c>
      <c r="G103" s="7">
        <f t="shared" si="0"/>
        <v>4593.333333333333</v>
      </c>
    </row>
    <row r="104" spans="1:7" x14ac:dyDescent="0.3">
      <c r="A104" s="4" t="s">
        <v>127</v>
      </c>
      <c r="B104" s="4">
        <v>908</v>
      </c>
      <c r="C104" s="4">
        <v>212</v>
      </c>
      <c r="D104" s="4">
        <v>1350</v>
      </c>
      <c r="E104" s="4">
        <v>1242</v>
      </c>
      <c r="F104" s="4">
        <v>3712</v>
      </c>
      <c r="G104" s="7">
        <f t="shared" si="0"/>
        <v>3636.3333333333335</v>
      </c>
    </row>
    <row r="105" spans="1:7" x14ac:dyDescent="0.3">
      <c r="A105" s="4" t="s">
        <v>128</v>
      </c>
      <c r="B105" s="4">
        <v>1116</v>
      </c>
      <c r="C105" s="4">
        <v>680</v>
      </c>
      <c r="D105" s="4">
        <v>861</v>
      </c>
      <c r="E105" s="4">
        <v>1385</v>
      </c>
      <c r="F105" s="4">
        <v>4042</v>
      </c>
      <c r="G105" s="7">
        <f t="shared" si="0"/>
        <v>3642.6666666666665</v>
      </c>
    </row>
    <row r="106" spans="1:7" x14ac:dyDescent="0.3">
      <c r="A106" s="4" t="s">
        <v>129</v>
      </c>
      <c r="B106" s="4">
        <v>474</v>
      </c>
      <c r="C106" s="4">
        <v>461</v>
      </c>
      <c r="D106" s="4">
        <v>292</v>
      </c>
      <c r="E106" s="4">
        <v>389</v>
      </c>
      <c r="F106" s="4">
        <v>1616</v>
      </c>
      <c r="G106" s="7">
        <f t="shared" si="0"/>
        <v>3388</v>
      </c>
    </row>
    <row r="107" spans="1:7" x14ac:dyDescent="0.3">
      <c r="A107" s="4" t="s">
        <v>130</v>
      </c>
      <c r="B107" s="4">
        <v>514</v>
      </c>
      <c r="C107" s="4">
        <v>641</v>
      </c>
      <c r="D107" s="4">
        <v>1676</v>
      </c>
      <c r="E107" s="4">
        <v>1467</v>
      </c>
      <c r="F107" s="4">
        <v>4298</v>
      </c>
      <c r="G107" s="7">
        <f t="shared" si="0"/>
        <v>3123.3333333333335</v>
      </c>
    </row>
    <row r="108" spans="1:7" x14ac:dyDescent="0.3">
      <c r="A108" s="4" t="s">
        <v>131</v>
      </c>
      <c r="B108" s="4">
        <v>1029</v>
      </c>
      <c r="C108" s="4">
        <v>167</v>
      </c>
      <c r="D108" s="4">
        <v>1007</v>
      </c>
      <c r="E108" s="4">
        <v>209</v>
      </c>
      <c r="F108" s="4">
        <v>2412</v>
      </c>
      <c r="G108" s="7">
        <f t="shared" si="0"/>
        <v>3318.6666666666665</v>
      </c>
    </row>
    <row r="109" spans="1:7" x14ac:dyDescent="0.3">
      <c r="A109" s="4" t="s">
        <v>132</v>
      </c>
      <c r="B109" s="4">
        <v>-175</v>
      </c>
      <c r="C109" s="4">
        <v>-160</v>
      </c>
      <c r="D109" s="4">
        <v>53</v>
      </c>
      <c r="E109" s="4">
        <v>145</v>
      </c>
      <c r="F109" s="4">
        <v>-137</v>
      </c>
      <c r="G109" s="7">
        <f t="shared" si="0"/>
        <v>2775.3333333333335</v>
      </c>
    </row>
    <row r="110" spans="1:7" x14ac:dyDescent="0.3">
      <c r="A110" s="4" t="s">
        <v>133</v>
      </c>
      <c r="B110" s="4">
        <v>1045</v>
      </c>
      <c r="C110" s="4">
        <v>603</v>
      </c>
      <c r="D110" s="4">
        <v>759</v>
      </c>
      <c r="E110" s="4">
        <v>1633</v>
      </c>
      <c r="F110" s="4">
        <v>4040</v>
      </c>
      <c r="G110" s="7">
        <f t="shared" si="0"/>
        <v>2191</v>
      </c>
    </row>
    <row r="111" spans="1:7" x14ac:dyDescent="0.3">
      <c r="A111" s="4" t="s">
        <v>134</v>
      </c>
      <c r="B111" s="4">
        <v>453</v>
      </c>
      <c r="C111" s="4">
        <v>1539</v>
      </c>
      <c r="D111" s="4">
        <v>948</v>
      </c>
      <c r="E111" s="4">
        <v>637</v>
      </c>
      <c r="F111" s="4">
        <v>3577</v>
      </c>
      <c r="G111" s="7">
        <f t="shared" si="0"/>
        <v>2105</v>
      </c>
    </row>
    <row r="112" spans="1:7" x14ac:dyDescent="0.3">
      <c r="A112" s="4" t="s">
        <v>135</v>
      </c>
      <c r="B112" s="4">
        <v>339</v>
      </c>
      <c r="C112" s="4">
        <v>1881</v>
      </c>
      <c r="D112" s="4">
        <v>1510</v>
      </c>
      <c r="E112" s="4">
        <v>864</v>
      </c>
      <c r="F112" s="4">
        <v>4594</v>
      </c>
      <c r="G112" s="7">
        <f t="shared" si="0"/>
        <v>2493.3333333333335</v>
      </c>
    </row>
    <row r="113" spans="1:7" x14ac:dyDescent="0.3">
      <c r="A113" s="4" t="s">
        <v>136</v>
      </c>
      <c r="B113" s="4">
        <v>407</v>
      </c>
      <c r="C113" s="4">
        <v>1656</v>
      </c>
      <c r="D113" s="4">
        <v>269</v>
      </c>
      <c r="E113" s="4">
        <v>-337</v>
      </c>
      <c r="F113" s="4">
        <v>1995</v>
      </c>
      <c r="G113" s="7">
        <f t="shared" si="0"/>
        <v>4070.3333333333335</v>
      </c>
    </row>
    <row r="129" spans="1:6" x14ac:dyDescent="0.3">
      <c r="A129" s="46" t="s">
        <v>0</v>
      </c>
      <c r="B129" s="46" t="s">
        <v>45</v>
      </c>
      <c r="C129" s="46" t="s">
        <v>42</v>
      </c>
    </row>
    <row r="130" spans="1:6" x14ac:dyDescent="0.3">
      <c r="A130" s="4" t="s">
        <v>2</v>
      </c>
      <c r="B130" s="7">
        <v>27590.78</v>
      </c>
      <c r="C130" s="7">
        <v>711.14</v>
      </c>
    </row>
    <row r="131" spans="1:6" x14ac:dyDescent="0.3">
      <c r="A131" s="4" t="s">
        <v>3</v>
      </c>
      <c r="B131" s="7">
        <v>23287.46</v>
      </c>
      <c r="C131" s="7">
        <v>960.08</v>
      </c>
    </row>
    <row r="132" spans="1:6" x14ac:dyDescent="0.3">
      <c r="A132" s="4" t="s">
        <v>4</v>
      </c>
      <c r="B132" s="7">
        <v>21207.14</v>
      </c>
      <c r="C132" s="7">
        <v>823.54</v>
      </c>
    </row>
    <row r="133" spans="1:6" x14ac:dyDescent="0.3">
      <c r="A133" s="4" t="s">
        <v>5</v>
      </c>
      <c r="B133" s="7">
        <v>24572.94</v>
      </c>
      <c r="C133" s="7">
        <v>707.34</v>
      </c>
    </row>
    <row r="134" spans="1:6" x14ac:dyDescent="0.3">
      <c r="A134" s="46" t="s">
        <v>6</v>
      </c>
      <c r="B134" s="47">
        <f>SUM(B130:B133)</f>
        <v>96658.32</v>
      </c>
      <c r="C134" s="47">
        <f>SUM(C130:C133)</f>
        <v>3202.1000000000004</v>
      </c>
    </row>
    <row r="140" spans="1:6" x14ac:dyDescent="0.3">
      <c r="A140" s="112" t="s">
        <v>81</v>
      </c>
    </row>
    <row r="141" spans="1:6" x14ac:dyDescent="0.3">
      <c r="A141" s="112"/>
    </row>
    <row r="142" spans="1:6" x14ac:dyDescent="0.3">
      <c r="A142" s="113" t="s">
        <v>139</v>
      </c>
      <c r="B142" s="57"/>
      <c r="C142" s="57"/>
      <c r="D142" s="57"/>
      <c r="E142" s="57"/>
      <c r="F142" s="58"/>
    </row>
    <row r="143" spans="1:6" x14ac:dyDescent="0.3">
      <c r="A143" s="59"/>
      <c r="B143" s="60"/>
      <c r="C143" s="60"/>
      <c r="D143" s="60"/>
      <c r="E143" s="60"/>
      <c r="F143" s="61"/>
    </row>
    <row r="144" spans="1:6" x14ac:dyDescent="0.3">
      <c r="A144" s="62"/>
      <c r="B144" s="63"/>
      <c r="C144" s="63"/>
      <c r="D144" s="63"/>
      <c r="E144" s="63"/>
      <c r="F144" s="64"/>
    </row>
  </sheetData>
  <mergeCells count="4">
    <mergeCell ref="H32:I33"/>
    <mergeCell ref="H34:O36"/>
    <mergeCell ref="A140:A141"/>
    <mergeCell ref="A142:F144"/>
  </mergeCells>
  <conditionalFormatting sqref="A5:F54">
    <cfRule type="expression" dxfId="42" priority="1">
      <formula>$F5=MAX($F$5:$F$54)</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1"/>
  <sheetViews>
    <sheetView tabSelected="1" topLeftCell="J1" workbookViewId="0">
      <selection activeCell="Q9" sqref="Q9"/>
    </sheetView>
  </sheetViews>
  <sheetFormatPr defaultColWidth="13.109375" defaultRowHeight="16.5" customHeight="1" x14ac:dyDescent="0.3"/>
  <cols>
    <col min="1" max="2" width="13.109375" style="27"/>
    <col min="3" max="3" width="13.109375" style="16"/>
    <col min="4" max="4" width="13.109375" style="27"/>
    <col min="5" max="5" width="18.33203125" style="27" customWidth="1"/>
    <col min="6" max="11" width="13.109375" style="4"/>
    <col min="12" max="12" width="20.5546875" style="27" customWidth="1"/>
    <col min="13" max="13" width="20.6640625" style="27" customWidth="1"/>
    <col min="14" max="14" width="21.88671875" style="27" customWidth="1"/>
    <col min="15" max="15" width="18.109375" style="27" customWidth="1"/>
    <col min="16" max="16" width="17.6640625" style="24" customWidth="1"/>
    <col min="17" max="17" width="22.5546875" style="27" customWidth="1"/>
    <col min="18" max="18" width="19.109375" style="29" customWidth="1"/>
    <col min="19" max="19" width="16.33203125" style="16" bestFit="1" customWidth="1"/>
    <col min="20" max="20" width="23" style="16" customWidth="1"/>
    <col min="21" max="21" width="23" style="27" customWidth="1"/>
    <col min="22" max="24" width="23" style="4" customWidth="1"/>
    <col min="25" max="25" width="10.33203125" style="4" customWidth="1"/>
    <col min="26" max="27" width="13.109375" style="4"/>
    <col min="28" max="28" width="13.44140625" style="4" customWidth="1"/>
    <col min="29" max="29" width="13.109375" style="4"/>
    <col min="30" max="30" width="8.5546875" style="29" customWidth="1"/>
    <col min="31" max="31" width="7.44140625" style="29" customWidth="1"/>
    <col min="32" max="32" width="13.109375" style="29"/>
    <col min="33" max="33" width="12.33203125" style="29" customWidth="1"/>
    <col min="34" max="34" width="7.5546875" style="29" customWidth="1"/>
    <col min="35" max="35" width="7.33203125" style="29" customWidth="1"/>
    <col min="36" max="36" width="21.109375" style="27" customWidth="1"/>
    <col min="37" max="37" width="13.44140625" style="27" customWidth="1"/>
    <col min="38" max="38" width="10.44140625" style="27" customWidth="1"/>
    <col min="39" max="39" width="20.6640625" style="27" customWidth="1"/>
    <col min="40" max="40" width="17.33203125" style="23" customWidth="1"/>
    <col min="41" max="16384" width="13.109375" style="4"/>
  </cols>
  <sheetData>
    <row r="1" spans="1:40" ht="20.25" customHeight="1" x14ac:dyDescent="0.45">
      <c r="A1" s="26" t="s">
        <v>8</v>
      </c>
      <c r="B1" s="26" t="s">
        <v>0</v>
      </c>
      <c r="C1" s="30" t="s">
        <v>9</v>
      </c>
      <c r="D1" s="26" t="s">
        <v>10</v>
      </c>
      <c r="E1" s="26" t="s">
        <v>11</v>
      </c>
      <c r="F1" s="1" t="s">
        <v>12</v>
      </c>
      <c r="G1" s="1" t="s">
        <v>13</v>
      </c>
      <c r="H1" s="1" t="s">
        <v>14</v>
      </c>
      <c r="I1" s="1" t="s">
        <v>15</v>
      </c>
      <c r="J1" s="1" t="s">
        <v>16</v>
      </c>
      <c r="K1" s="1" t="s">
        <v>17</v>
      </c>
      <c r="L1" s="26" t="s">
        <v>18</v>
      </c>
      <c r="M1" s="26" t="s">
        <v>19</v>
      </c>
      <c r="N1" s="26" t="s">
        <v>20</v>
      </c>
      <c r="O1" s="26" t="s">
        <v>21</v>
      </c>
      <c r="P1" s="25" t="s">
        <v>22</v>
      </c>
      <c r="Q1" s="26" t="s">
        <v>32</v>
      </c>
      <c r="R1" s="28" t="s">
        <v>140</v>
      </c>
      <c r="S1" s="30" t="s">
        <v>141</v>
      </c>
      <c r="T1" s="30" t="s">
        <v>142</v>
      </c>
      <c r="U1" s="26" t="s">
        <v>71</v>
      </c>
      <c r="V1" s="25" t="s">
        <v>78</v>
      </c>
      <c r="W1" s="15"/>
      <c r="X1" s="15"/>
      <c r="Y1" s="43"/>
      <c r="Z1" s="43"/>
      <c r="AA1" s="43"/>
      <c r="AB1" s="43"/>
      <c r="AC1" s="43"/>
      <c r="AD1" s="43"/>
      <c r="AE1" s="43"/>
      <c r="AF1" s="43"/>
      <c r="AG1" s="43"/>
      <c r="AH1" s="43"/>
      <c r="AI1" s="43"/>
      <c r="AJ1" s="43"/>
      <c r="AK1" s="43"/>
      <c r="AL1" s="43"/>
      <c r="AM1" s="43"/>
      <c r="AN1" s="43"/>
    </row>
    <row r="2" spans="1:40" ht="16.5" customHeight="1" x14ac:dyDescent="0.3">
      <c r="A2" s="32" t="s">
        <v>143</v>
      </c>
      <c r="B2" s="32" t="s">
        <v>3</v>
      </c>
      <c r="C2" s="5" t="s">
        <v>144</v>
      </c>
      <c r="D2" s="32" t="s">
        <v>29</v>
      </c>
      <c r="E2" s="32" t="s">
        <v>145</v>
      </c>
      <c r="F2" s="6">
        <v>84</v>
      </c>
      <c r="G2" s="6">
        <v>897</v>
      </c>
      <c r="H2" s="6">
        <v>85</v>
      </c>
      <c r="I2" s="6">
        <v>588</v>
      </c>
      <c r="J2" s="6">
        <v>8</v>
      </c>
      <c r="K2" s="6">
        <v>12</v>
      </c>
      <c r="L2" s="32" t="s">
        <v>36</v>
      </c>
      <c r="P2" s="24">
        <f t="shared" ref="P2:P65" si="0">(F2+G2+H2)/I2</f>
        <v>1.8129251700680271</v>
      </c>
      <c r="Q2" s="31" t="str" cm="1">
        <f t="array" ref="Q2:Q7">_xlfn.UNIQUE(_xlfn._xlws.FILTER(_xlfn.VSTACK(L3:L302,M3:M302,N3:N302),_xlfn.VSTACK(L3:L302,M3:M302,N3:N302)&lt;&gt;""))</f>
        <v>#TeslaCoInnovation</v>
      </c>
      <c r="R2" s="7">
        <f>COUNTIF(L:L,Q2)+COUNTIF(M:M,Q2)+COUNTIF(N:N,Q2)</f>
        <v>107</v>
      </c>
      <c r="S2" s="16" t="str">
        <f>IFERROR(_xlfn.XLOOKUP(O2,'Campaign Metadata'!$A$2:$A$5,'Campaign Metadata'!$B$2:$B$5),"")</f>
        <v/>
      </c>
      <c r="T2" s="16" t="str">
        <f>IFERROR(_xlfn.XLOOKUP(O2,'Campaign Metadata'!$A$2:$A$5,'Campaign Metadata'!$C$2:$C$5),"")</f>
        <v/>
      </c>
      <c r="U2" s="27" t="str">
        <f>IF(O2="","No Campaign",IF(AND(C2&gt;=S2,C2&lt;=T2),"During","Before"))</f>
        <v>No Campaign</v>
      </c>
      <c r="V2" s="7">
        <f>F2+G2+H2</f>
        <v>1066</v>
      </c>
      <c r="Y2" s="34"/>
      <c r="Z2" s="34"/>
      <c r="AA2" s="34"/>
      <c r="AB2" s="35"/>
      <c r="AC2" s="35"/>
      <c r="AD2" s="36"/>
      <c r="AE2" s="36"/>
      <c r="AF2" s="36"/>
      <c r="AG2" s="36"/>
      <c r="AH2" s="36"/>
      <c r="AI2" s="36"/>
      <c r="AJ2" s="35"/>
      <c r="AK2" s="35"/>
      <c r="AL2" s="35"/>
      <c r="AM2" s="35"/>
      <c r="AN2" s="37"/>
    </row>
    <row r="3" spans="1:40" ht="16.5" customHeight="1" x14ac:dyDescent="0.3">
      <c r="A3" s="32" t="s">
        <v>146</v>
      </c>
      <c r="B3" s="32" t="s">
        <v>3</v>
      </c>
      <c r="C3" s="5" t="s">
        <v>147</v>
      </c>
      <c r="D3" s="32" t="s">
        <v>28</v>
      </c>
      <c r="E3" s="32" t="s">
        <v>148</v>
      </c>
      <c r="F3" s="6">
        <v>103</v>
      </c>
      <c r="G3" s="6">
        <v>770</v>
      </c>
      <c r="H3" s="6">
        <v>19</v>
      </c>
      <c r="I3" s="6">
        <v>1030</v>
      </c>
      <c r="J3" s="6">
        <v>410</v>
      </c>
      <c r="K3" s="6">
        <v>262</v>
      </c>
      <c r="L3" s="32" t="s">
        <v>39</v>
      </c>
      <c r="O3" s="32" t="s">
        <v>70</v>
      </c>
      <c r="P3" s="24">
        <f t="shared" si="0"/>
        <v>0.86601941747572819</v>
      </c>
      <c r="Q3" s="27" t="str">
        <v>#EVRevolution</v>
      </c>
      <c r="R3" s="7">
        <f t="shared" ref="R3:R7" si="1">COUNTIF(L:L,Q3)+COUNTIF(M:M,Q3)+COUNTIF(N:N,Q3)</f>
        <v>102</v>
      </c>
      <c r="S3" s="16" t="str">
        <f>IFERROR(_xlfn.XLOOKUP(O3,'Campaign Metadata'!$A$2:$A$5,'Campaign Metadata'!$B$2:$B$5),"")</f>
        <v>2025-03-01</v>
      </c>
      <c r="T3" s="16" t="str">
        <f>IFERROR(_xlfn.XLOOKUP(O3,'Campaign Metadata'!$A$2:$A$5,'Campaign Metadata'!$C$2:$C$5),"")</f>
        <v>2025-03-31</v>
      </c>
      <c r="U3" s="27" t="str">
        <f t="shared" ref="U3:U66" si="2">IF(O3="","No Campaign",IF(AND(C3&gt;=S3,C3&lt;=T3),"During","Before"))</f>
        <v>Before</v>
      </c>
      <c r="V3" s="7">
        <f t="shared" ref="V3:V66" si="3">F3+G3+H3</f>
        <v>892</v>
      </c>
      <c r="Y3" s="38"/>
      <c r="Z3" s="39"/>
      <c r="AA3" s="40"/>
      <c r="AB3" s="39"/>
      <c r="AC3" s="39"/>
      <c r="AD3" s="41"/>
      <c r="AE3" s="41"/>
      <c r="AF3" s="41"/>
      <c r="AG3" s="41"/>
      <c r="AH3" s="41"/>
      <c r="AI3" s="41"/>
      <c r="AJ3" s="39"/>
      <c r="AK3" s="39"/>
      <c r="AL3" s="39"/>
      <c r="AM3" s="39"/>
      <c r="AN3" s="42"/>
    </row>
    <row r="4" spans="1:40" ht="16.5" customHeight="1" x14ac:dyDescent="0.3">
      <c r="A4" s="32" t="s">
        <v>149</v>
      </c>
      <c r="B4" s="32" t="s">
        <v>4</v>
      </c>
      <c r="C4" s="5" t="s">
        <v>150</v>
      </c>
      <c r="D4" s="32" t="s">
        <v>29</v>
      </c>
      <c r="E4" s="32" t="s">
        <v>151</v>
      </c>
      <c r="F4" s="6">
        <v>249</v>
      </c>
      <c r="G4" s="6">
        <v>592</v>
      </c>
      <c r="H4" s="6">
        <v>230</v>
      </c>
      <c r="I4" s="6">
        <v>1494</v>
      </c>
      <c r="J4" s="6">
        <v>1044</v>
      </c>
      <c r="K4" s="6">
        <v>201</v>
      </c>
      <c r="L4" s="32" t="s">
        <v>36</v>
      </c>
      <c r="O4" s="32" t="s">
        <v>70</v>
      </c>
      <c r="P4" s="24">
        <f t="shared" si="0"/>
        <v>0.7168674698795181</v>
      </c>
      <c r="Q4" s="27" t="str">
        <v>#FutureOfDriving</v>
      </c>
      <c r="R4" s="7">
        <f t="shared" si="1"/>
        <v>103</v>
      </c>
      <c r="S4" s="16" t="str">
        <f>IFERROR(_xlfn.XLOOKUP(O4,'Campaign Metadata'!$A$2:$A$5,'Campaign Metadata'!$B$2:$B$5),"")</f>
        <v>2025-03-01</v>
      </c>
      <c r="T4" s="16" t="str">
        <f>IFERROR(_xlfn.XLOOKUP(O4,'Campaign Metadata'!$A$2:$A$5,'Campaign Metadata'!$C$2:$C$5),"")</f>
        <v>2025-03-31</v>
      </c>
      <c r="U4" s="27" t="str">
        <f t="shared" si="2"/>
        <v>Before</v>
      </c>
      <c r="V4" s="7">
        <f t="shared" si="3"/>
        <v>1071</v>
      </c>
      <c r="Y4" s="27"/>
      <c r="Z4" s="27"/>
      <c r="AA4" s="16"/>
      <c r="AB4" s="27"/>
      <c r="AC4" s="27"/>
      <c r="AD4" s="7"/>
      <c r="AE4" s="7"/>
      <c r="AF4" s="7"/>
      <c r="AG4" s="7"/>
      <c r="AH4" s="7"/>
      <c r="AI4" s="7"/>
      <c r="AN4" s="24"/>
    </row>
    <row r="5" spans="1:40" ht="16.5" customHeight="1" x14ac:dyDescent="0.3">
      <c r="A5" s="32" t="s">
        <v>152</v>
      </c>
      <c r="B5" s="32" t="s">
        <v>3</v>
      </c>
      <c r="C5" s="5" t="s">
        <v>153</v>
      </c>
      <c r="D5" s="32" t="s">
        <v>31</v>
      </c>
      <c r="E5" s="32" t="s">
        <v>154</v>
      </c>
      <c r="F5" s="6">
        <v>129</v>
      </c>
      <c r="G5" s="6">
        <v>643</v>
      </c>
      <c r="H5" s="6">
        <v>136</v>
      </c>
      <c r="I5" s="6">
        <v>1290</v>
      </c>
      <c r="J5" s="6">
        <v>839</v>
      </c>
      <c r="K5" s="6">
        <v>238</v>
      </c>
      <c r="L5" s="32" t="s">
        <v>39</v>
      </c>
      <c r="O5" s="32" t="s">
        <v>70</v>
      </c>
      <c r="P5" s="24">
        <f t="shared" si="0"/>
        <v>0.70387596899224802</v>
      </c>
      <c r="Q5" s="27" t="str">
        <v>#BetterWithTesla</v>
      </c>
      <c r="R5" s="7">
        <f t="shared" si="1"/>
        <v>7</v>
      </c>
      <c r="S5" s="16" t="str">
        <f>IFERROR(_xlfn.XLOOKUP(O5,'Campaign Metadata'!$A$2:$A$5,'Campaign Metadata'!$B$2:$B$5),"")</f>
        <v>2025-03-01</v>
      </c>
      <c r="T5" s="16" t="str">
        <f>IFERROR(_xlfn.XLOOKUP(O5,'Campaign Metadata'!$A$2:$A$5,'Campaign Metadata'!$C$2:$C$5),"")</f>
        <v>2025-03-31</v>
      </c>
      <c r="U5" s="27" t="str">
        <f t="shared" si="2"/>
        <v>Before</v>
      </c>
      <c r="V5" s="7">
        <f t="shared" si="3"/>
        <v>908</v>
      </c>
      <c r="Y5" s="27"/>
      <c r="Z5" s="27"/>
      <c r="AA5" s="16"/>
      <c r="AB5" s="27"/>
      <c r="AC5" s="27"/>
      <c r="AD5" s="7"/>
      <c r="AE5" s="7"/>
      <c r="AF5" s="7"/>
      <c r="AG5" s="7"/>
      <c r="AH5" s="7"/>
      <c r="AI5" s="7"/>
      <c r="AN5" s="24"/>
    </row>
    <row r="6" spans="1:40" ht="16.5" customHeight="1" x14ac:dyDescent="0.3">
      <c r="A6" s="32" t="s">
        <v>155</v>
      </c>
      <c r="B6" s="32" t="s">
        <v>3</v>
      </c>
      <c r="C6" s="5" t="s">
        <v>156</v>
      </c>
      <c r="D6" s="32" t="s">
        <v>28</v>
      </c>
      <c r="E6" s="32" t="s">
        <v>148</v>
      </c>
      <c r="F6" s="6">
        <v>142</v>
      </c>
      <c r="G6" s="6">
        <v>784</v>
      </c>
      <c r="H6" s="6">
        <v>183</v>
      </c>
      <c r="I6" s="6">
        <v>1704</v>
      </c>
      <c r="J6" s="6">
        <v>995</v>
      </c>
      <c r="K6" s="6">
        <v>154</v>
      </c>
      <c r="L6" s="32" t="s">
        <v>37</v>
      </c>
      <c r="O6" s="32" t="s">
        <v>70</v>
      </c>
      <c r="P6" s="24">
        <f t="shared" si="0"/>
        <v>0.6508215962441315</v>
      </c>
      <c r="Q6" s="27" t="str">
        <v>#AnytimeIsTeslaTime</v>
      </c>
      <c r="R6" s="7">
        <f t="shared" si="1"/>
        <v>15</v>
      </c>
      <c r="S6" s="16" t="str">
        <f>IFERROR(_xlfn.XLOOKUP(O6,'Campaign Metadata'!$A$2:$A$5,'Campaign Metadata'!$B$2:$B$5),"")</f>
        <v>2025-03-01</v>
      </c>
      <c r="T6" s="16" t="str">
        <f>IFERROR(_xlfn.XLOOKUP(O6,'Campaign Metadata'!$A$2:$A$5,'Campaign Metadata'!$C$2:$C$5),"")</f>
        <v>2025-03-31</v>
      </c>
      <c r="U6" s="27" t="str">
        <f t="shared" si="2"/>
        <v>Before</v>
      </c>
      <c r="V6" s="7">
        <f t="shared" si="3"/>
        <v>1109</v>
      </c>
      <c r="Y6" s="27"/>
      <c r="Z6" s="27"/>
      <c r="AA6" s="16"/>
      <c r="AB6" s="27"/>
      <c r="AC6" s="27"/>
      <c r="AD6" s="7"/>
      <c r="AE6" s="7"/>
      <c r="AF6" s="7"/>
      <c r="AG6" s="7"/>
      <c r="AH6" s="7"/>
      <c r="AI6" s="7"/>
      <c r="AN6" s="24"/>
    </row>
    <row r="7" spans="1:40" ht="16.5" customHeight="1" x14ac:dyDescent="0.3">
      <c r="A7" s="32" t="s">
        <v>157</v>
      </c>
      <c r="B7" s="32" t="s">
        <v>4</v>
      </c>
      <c r="C7" s="5" t="s">
        <v>158</v>
      </c>
      <c r="D7" s="32" t="s">
        <v>26</v>
      </c>
      <c r="E7" s="32" t="s">
        <v>159</v>
      </c>
      <c r="F7" s="6">
        <v>53</v>
      </c>
      <c r="G7" s="6">
        <v>81</v>
      </c>
      <c r="H7" s="6">
        <v>379</v>
      </c>
      <c r="I7" s="6">
        <v>954</v>
      </c>
      <c r="J7" s="6">
        <v>7</v>
      </c>
      <c r="K7" s="6">
        <v>148</v>
      </c>
      <c r="L7" s="32" t="s">
        <v>39</v>
      </c>
      <c r="O7" s="32" t="s">
        <v>68</v>
      </c>
      <c r="P7" s="24">
        <f t="shared" si="0"/>
        <v>0.53773584905660377</v>
      </c>
      <c r="Q7" s="27" t="str">
        <v>#SmoothLikeNitroTesla</v>
      </c>
      <c r="R7" s="7">
        <f t="shared" si="1"/>
        <v>5</v>
      </c>
      <c r="S7" s="16" t="str">
        <f>IFERROR(_xlfn.XLOOKUP(O7,'Campaign Metadata'!$A$2:$A$5,'Campaign Metadata'!$B$2:$B$5),"")</f>
        <v>2024-12-25</v>
      </c>
      <c r="T7" s="16" t="str">
        <f>IFERROR(_xlfn.XLOOKUP(O7,'Campaign Metadata'!$A$2:$A$5,'Campaign Metadata'!$C$2:$C$5),"")</f>
        <v>2025-01-10</v>
      </c>
      <c r="U7" s="27" t="str">
        <f t="shared" si="2"/>
        <v>Before</v>
      </c>
      <c r="V7" s="7">
        <f t="shared" si="3"/>
        <v>513</v>
      </c>
      <c r="Y7" s="27"/>
      <c r="Z7" s="27"/>
      <c r="AA7" s="16"/>
      <c r="AB7" s="27"/>
      <c r="AC7" s="27"/>
      <c r="AD7" s="7"/>
      <c r="AE7" s="7"/>
      <c r="AF7" s="7"/>
      <c r="AG7" s="7"/>
      <c r="AH7" s="7"/>
      <c r="AI7" s="7"/>
      <c r="AN7" s="24"/>
    </row>
    <row r="8" spans="1:40" ht="16.5" customHeight="1" x14ac:dyDescent="0.3">
      <c r="A8" s="32" t="s">
        <v>160</v>
      </c>
      <c r="B8" s="32" t="s">
        <v>4</v>
      </c>
      <c r="C8" s="5" t="s">
        <v>161</v>
      </c>
      <c r="D8" s="32" t="s">
        <v>27</v>
      </c>
      <c r="E8" s="32" t="s">
        <v>162</v>
      </c>
      <c r="F8" s="6">
        <v>59</v>
      </c>
      <c r="G8" s="6">
        <v>163</v>
      </c>
      <c r="H8" s="6">
        <v>93</v>
      </c>
      <c r="I8" s="6">
        <v>590</v>
      </c>
      <c r="J8" s="6">
        <v>475</v>
      </c>
      <c r="K8" s="6">
        <v>293</v>
      </c>
      <c r="L8" s="32" t="s">
        <v>39</v>
      </c>
      <c r="O8" s="32" t="s">
        <v>69</v>
      </c>
      <c r="P8" s="24">
        <f t="shared" si="0"/>
        <v>0.53389830508474578</v>
      </c>
      <c r="S8" s="16" t="str">
        <f>IFERROR(_xlfn.XLOOKUP(O8,'Campaign Metadata'!$A$2:$A$5,'Campaign Metadata'!$B$2:$B$5),"")</f>
        <v>2024-10-01</v>
      </c>
      <c r="T8" s="16" t="str">
        <f>IFERROR(_xlfn.XLOOKUP(O8,'Campaign Metadata'!$A$2:$A$5,'Campaign Metadata'!$C$2:$C$5),"")</f>
        <v>2024-10-31</v>
      </c>
      <c r="U8" s="27" t="str">
        <f t="shared" si="2"/>
        <v>Before</v>
      </c>
      <c r="V8" s="7">
        <f t="shared" si="3"/>
        <v>315</v>
      </c>
      <c r="Y8" s="27"/>
      <c r="Z8" s="27"/>
      <c r="AA8" s="16"/>
      <c r="AB8" s="27"/>
      <c r="AC8" s="27"/>
      <c r="AD8" s="7"/>
      <c r="AE8" s="7"/>
      <c r="AF8" s="7"/>
      <c r="AG8" s="7"/>
      <c r="AH8" s="7"/>
      <c r="AI8" s="7"/>
      <c r="AN8" s="24"/>
    </row>
    <row r="9" spans="1:40" ht="16.5" customHeight="1" x14ac:dyDescent="0.3">
      <c r="A9" s="32" t="s">
        <v>163</v>
      </c>
      <c r="B9" s="32" t="s">
        <v>5</v>
      </c>
      <c r="C9" s="5" t="s">
        <v>164</v>
      </c>
      <c r="D9" s="32" t="s">
        <v>26</v>
      </c>
      <c r="E9" s="32" t="s">
        <v>165</v>
      </c>
      <c r="F9" s="6">
        <v>80</v>
      </c>
      <c r="G9" s="6">
        <v>362</v>
      </c>
      <c r="H9" s="6">
        <v>80</v>
      </c>
      <c r="I9" s="6">
        <v>1040</v>
      </c>
      <c r="J9" s="6">
        <v>349</v>
      </c>
      <c r="K9" s="6">
        <v>117</v>
      </c>
      <c r="L9" s="32" t="s">
        <v>39</v>
      </c>
      <c r="O9" s="32" t="s">
        <v>68</v>
      </c>
      <c r="P9" s="24">
        <f t="shared" si="0"/>
        <v>0.50192307692307692</v>
      </c>
      <c r="S9" s="16" t="str">
        <f>IFERROR(_xlfn.XLOOKUP(O9,'Campaign Metadata'!$A$2:$A$5,'Campaign Metadata'!$B$2:$B$5),"")</f>
        <v>2024-12-25</v>
      </c>
      <c r="T9" s="16" t="str">
        <f>IFERROR(_xlfn.XLOOKUP(O9,'Campaign Metadata'!$A$2:$A$5,'Campaign Metadata'!$C$2:$C$5),"")</f>
        <v>2025-01-10</v>
      </c>
      <c r="U9" s="27" t="str">
        <f t="shared" si="2"/>
        <v>Before</v>
      </c>
      <c r="V9" s="7">
        <f t="shared" si="3"/>
        <v>522</v>
      </c>
      <c r="Y9" s="27"/>
      <c r="Z9" s="27"/>
      <c r="AA9" s="16"/>
      <c r="AB9" s="27"/>
      <c r="AC9" s="27"/>
      <c r="AD9" s="7"/>
      <c r="AE9" s="7"/>
      <c r="AF9" s="7"/>
      <c r="AG9" s="7"/>
      <c r="AH9" s="7"/>
      <c r="AI9" s="7"/>
      <c r="AN9" s="24"/>
    </row>
    <row r="10" spans="1:40" ht="16.5" customHeight="1" x14ac:dyDescent="0.3">
      <c r="A10" s="32" t="s">
        <v>166</v>
      </c>
      <c r="B10" s="32" t="s">
        <v>5</v>
      </c>
      <c r="C10" s="5" t="s">
        <v>167</v>
      </c>
      <c r="D10" s="32" t="s">
        <v>27</v>
      </c>
      <c r="E10" s="32" t="s">
        <v>168</v>
      </c>
      <c r="F10" s="6">
        <v>257</v>
      </c>
      <c r="G10" s="6">
        <v>966</v>
      </c>
      <c r="H10" s="6">
        <v>398</v>
      </c>
      <c r="I10" s="6">
        <v>3341</v>
      </c>
      <c r="J10" s="6">
        <v>2753</v>
      </c>
      <c r="K10" s="6">
        <v>287</v>
      </c>
      <c r="L10" s="32" t="s">
        <v>37</v>
      </c>
      <c r="O10" s="32" t="s">
        <v>67</v>
      </c>
      <c r="P10" s="24">
        <f t="shared" si="0"/>
        <v>0.48518407662376534</v>
      </c>
      <c r="S10" s="16" t="str">
        <f>IFERROR(_xlfn.XLOOKUP(O10,'Campaign Metadata'!$A$2:$A$5,'Campaign Metadata'!$B$2:$B$5),"")</f>
        <v>2024-06-15</v>
      </c>
      <c r="T10" s="16" t="str">
        <f>IFERROR(_xlfn.XLOOKUP(O10,'Campaign Metadata'!$A$2:$A$5,'Campaign Metadata'!$C$2:$C$5),"")</f>
        <v>2024-07-15</v>
      </c>
      <c r="U10" s="27" t="str">
        <f t="shared" si="2"/>
        <v>Before</v>
      </c>
      <c r="V10" s="7">
        <f t="shared" si="3"/>
        <v>1621</v>
      </c>
      <c r="Y10" s="27"/>
      <c r="Z10" s="27"/>
      <c r="AA10" s="16"/>
      <c r="AB10" s="27"/>
      <c r="AC10" s="27"/>
      <c r="AD10" s="7"/>
      <c r="AE10" s="7"/>
      <c r="AF10" s="7"/>
      <c r="AG10" s="7"/>
      <c r="AH10" s="7"/>
      <c r="AI10" s="7"/>
      <c r="AN10" s="24"/>
    </row>
    <row r="11" spans="1:40" ht="16.5" customHeight="1" x14ac:dyDescent="0.3">
      <c r="A11" s="32" t="s">
        <v>169</v>
      </c>
      <c r="B11" s="32" t="s">
        <v>2</v>
      </c>
      <c r="C11" s="5" t="s">
        <v>170</v>
      </c>
      <c r="D11" s="32" t="s">
        <v>31</v>
      </c>
      <c r="E11" s="32" t="s">
        <v>171</v>
      </c>
      <c r="F11" s="6">
        <v>199</v>
      </c>
      <c r="G11" s="6">
        <v>772</v>
      </c>
      <c r="H11" s="6">
        <v>400</v>
      </c>
      <c r="I11" s="6">
        <v>3582</v>
      </c>
      <c r="J11" s="6">
        <v>2988</v>
      </c>
      <c r="K11" s="6">
        <v>43</v>
      </c>
      <c r="L11" s="32" t="s">
        <v>39</v>
      </c>
      <c r="P11" s="24">
        <f t="shared" si="0"/>
        <v>0.38274706867671693</v>
      </c>
      <c r="S11" s="16" t="str">
        <f>IFERROR(_xlfn.XLOOKUP(O11,'Campaign Metadata'!$A$2:$A$5,'Campaign Metadata'!$B$2:$B$5),"")</f>
        <v/>
      </c>
      <c r="T11" s="16" t="str">
        <f>IFERROR(_xlfn.XLOOKUP(O11,'Campaign Metadata'!$A$2:$A$5,'Campaign Metadata'!$C$2:$C$5),"")</f>
        <v/>
      </c>
      <c r="U11" s="27" t="str">
        <f t="shared" si="2"/>
        <v>No Campaign</v>
      </c>
      <c r="V11" s="7">
        <f t="shared" si="3"/>
        <v>1371</v>
      </c>
      <c r="Y11" s="27"/>
      <c r="Z11" s="27"/>
      <c r="AA11" s="16"/>
      <c r="AB11" s="27"/>
      <c r="AC11" s="27"/>
      <c r="AD11" s="7"/>
      <c r="AE11" s="7"/>
      <c r="AF11" s="7"/>
      <c r="AG11" s="7"/>
      <c r="AH11" s="7"/>
      <c r="AI11" s="7"/>
      <c r="AN11" s="24"/>
    </row>
    <row r="12" spans="1:40" ht="16.5" customHeight="1" x14ac:dyDescent="0.3">
      <c r="A12" s="32" t="s">
        <v>172</v>
      </c>
      <c r="B12" s="32" t="s">
        <v>3</v>
      </c>
      <c r="C12" s="5" t="s">
        <v>115</v>
      </c>
      <c r="D12" s="32" t="s">
        <v>27</v>
      </c>
      <c r="E12" s="32" t="s">
        <v>173</v>
      </c>
      <c r="F12" s="6">
        <v>521</v>
      </c>
      <c r="G12" s="6">
        <v>746</v>
      </c>
      <c r="H12" s="6">
        <v>315</v>
      </c>
      <c r="I12" s="6">
        <v>4168</v>
      </c>
      <c r="J12" s="6">
        <v>3399</v>
      </c>
      <c r="K12" s="6">
        <v>282</v>
      </c>
      <c r="L12" s="32" t="s">
        <v>37</v>
      </c>
      <c r="O12" s="32" t="s">
        <v>69</v>
      </c>
      <c r="P12" s="24">
        <f t="shared" si="0"/>
        <v>0.37955854126679461</v>
      </c>
      <c r="S12" s="16" t="str">
        <f>IFERROR(_xlfn.XLOOKUP(O12,'Campaign Metadata'!$A$2:$A$5,'Campaign Metadata'!$B$2:$B$5),"")</f>
        <v>2024-10-01</v>
      </c>
      <c r="T12" s="16" t="str">
        <f>IFERROR(_xlfn.XLOOKUP(O12,'Campaign Metadata'!$A$2:$A$5,'Campaign Metadata'!$C$2:$C$5),"")</f>
        <v>2024-10-31</v>
      </c>
      <c r="U12" s="27" t="str">
        <f t="shared" si="2"/>
        <v>Before</v>
      </c>
      <c r="V12" s="7">
        <f t="shared" si="3"/>
        <v>1582</v>
      </c>
      <c r="Y12" s="27"/>
      <c r="Z12" s="27"/>
      <c r="AA12" s="16"/>
      <c r="AB12" s="27"/>
      <c r="AC12" s="27"/>
      <c r="AD12" s="7"/>
      <c r="AE12" s="7"/>
      <c r="AF12" s="7"/>
      <c r="AG12" s="7"/>
      <c r="AH12" s="7"/>
      <c r="AI12" s="7"/>
    </row>
    <row r="13" spans="1:40" ht="16.5" customHeight="1" x14ac:dyDescent="0.3">
      <c r="A13" s="32" t="s">
        <v>174</v>
      </c>
      <c r="B13" s="32" t="s">
        <v>5</v>
      </c>
      <c r="C13" s="5" t="s">
        <v>125</v>
      </c>
      <c r="D13" s="32" t="s">
        <v>26</v>
      </c>
      <c r="E13" s="32" t="s">
        <v>165</v>
      </c>
      <c r="F13" s="6">
        <v>804</v>
      </c>
      <c r="G13" s="6">
        <v>639</v>
      </c>
      <c r="H13" s="6">
        <v>43</v>
      </c>
      <c r="I13" s="6">
        <v>4020</v>
      </c>
      <c r="J13" s="6">
        <v>3144</v>
      </c>
      <c r="K13" s="6">
        <v>11</v>
      </c>
      <c r="L13" s="32" t="s">
        <v>36</v>
      </c>
      <c r="M13" s="27" t="s">
        <v>35</v>
      </c>
      <c r="P13" s="24">
        <f t="shared" si="0"/>
        <v>0.36965174129353234</v>
      </c>
      <c r="S13" s="16" t="str">
        <f>IFERROR(_xlfn.XLOOKUP(O13,'Campaign Metadata'!$A$2:$A$5,'Campaign Metadata'!$B$2:$B$5),"")</f>
        <v/>
      </c>
      <c r="T13" s="16" t="str">
        <f>IFERROR(_xlfn.XLOOKUP(O13,'Campaign Metadata'!$A$2:$A$5,'Campaign Metadata'!$C$2:$C$5),"")</f>
        <v/>
      </c>
      <c r="U13" s="27" t="str">
        <f t="shared" si="2"/>
        <v>No Campaign</v>
      </c>
      <c r="V13" s="7">
        <f t="shared" si="3"/>
        <v>1486</v>
      </c>
    </row>
    <row r="14" spans="1:40" ht="16.5" customHeight="1" x14ac:dyDescent="0.3">
      <c r="A14" s="32" t="s">
        <v>175</v>
      </c>
      <c r="B14" s="32" t="s">
        <v>4</v>
      </c>
      <c r="C14" s="5" t="s">
        <v>176</v>
      </c>
      <c r="D14" s="32" t="s">
        <v>28</v>
      </c>
      <c r="E14" s="32" t="s">
        <v>177</v>
      </c>
      <c r="F14" s="6">
        <v>1000</v>
      </c>
      <c r="G14" s="6">
        <v>978</v>
      </c>
      <c r="H14" s="6">
        <v>162</v>
      </c>
      <c r="I14" s="6">
        <v>6000</v>
      </c>
      <c r="J14" s="6">
        <v>5221</v>
      </c>
      <c r="K14" s="6">
        <v>223</v>
      </c>
      <c r="L14" s="32" t="s">
        <v>36</v>
      </c>
      <c r="O14" s="32" t="s">
        <v>69</v>
      </c>
      <c r="P14" s="24">
        <f t="shared" si="0"/>
        <v>0.35666666666666669</v>
      </c>
      <c r="S14" s="16" t="str">
        <f>IFERROR(_xlfn.XLOOKUP(O14,'Campaign Metadata'!$A$2:$A$5,'Campaign Metadata'!$B$2:$B$5),"")</f>
        <v>2024-10-01</v>
      </c>
      <c r="T14" s="16" t="str">
        <f>IFERROR(_xlfn.XLOOKUP(O14,'Campaign Metadata'!$A$2:$A$5,'Campaign Metadata'!$C$2:$C$5),"")</f>
        <v>2024-10-31</v>
      </c>
      <c r="U14" s="27" t="str">
        <f t="shared" si="2"/>
        <v>Before</v>
      </c>
      <c r="V14" s="7">
        <f t="shared" si="3"/>
        <v>2140</v>
      </c>
    </row>
    <row r="15" spans="1:40" ht="16.5" customHeight="1" x14ac:dyDescent="0.3">
      <c r="A15" s="32" t="s">
        <v>178</v>
      </c>
      <c r="B15" s="32" t="s">
        <v>5</v>
      </c>
      <c r="C15" s="5" t="s">
        <v>179</v>
      </c>
      <c r="D15" s="32" t="s">
        <v>26</v>
      </c>
      <c r="E15" s="32" t="s">
        <v>165</v>
      </c>
      <c r="F15" s="6">
        <v>736</v>
      </c>
      <c r="G15" s="6">
        <v>771</v>
      </c>
      <c r="H15" s="6">
        <v>225</v>
      </c>
      <c r="I15" s="6">
        <v>5152</v>
      </c>
      <c r="J15" s="6">
        <v>4706</v>
      </c>
      <c r="K15" s="6">
        <v>19</v>
      </c>
      <c r="L15" s="32" t="s">
        <v>36</v>
      </c>
      <c r="O15" s="32" t="s">
        <v>67</v>
      </c>
      <c r="P15" s="24">
        <f t="shared" si="0"/>
        <v>0.33618012422360249</v>
      </c>
      <c r="S15" s="16" t="str">
        <f>IFERROR(_xlfn.XLOOKUP(O15,'Campaign Metadata'!$A$2:$A$5,'Campaign Metadata'!$B$2:$B$5),"")</f>
        <v>2024-06-15</v>
      </c>
      <c r="T15" s="16" t="str">
        <f>IFERROR(_xlfn.XLOOKUP(O15,'Campaign Metadata'!$A$2:$A$5,'Campaign Metadata'!$C$2:$C$5),"")</f>
        <v>2024-07-15</v>
      </c>
      <c r="U15" s="27" t="str">
        <f t="shared" si="2"/>
        <v>Before</v>
      </c>
      <c r="V15" s="7">
        <f t="shared" si="3"/>
        <v>1732</v>
      </c>
    </row>
    <row r="16" spans="1:40" ht="16.5" customHeight="1" x14ac:dyDescent="0.3">
      <c r="A16" s="32" t="s">
        <v>180</v>
      </c>
      <c r="B16" s="32" t="s">
        <v>3</v>
      </c>
      <c r="C16" s="5" t="s">
        <v>94</v>
      </c>
      <c r="D16" s="32" t="s">
        <v>29</v>
      </c>
      <c r="E16" s="32" t="s">
        <v>145</v>
      </c>
      <c r="F16" s="6">
        <v>498</v>
      </c>
      <c r="G16" s="6">
        <v>701</v>
      </c>
      <c r="H16" s="6">
        <v>412</v>
      </c>
      <c r="I16" s="6">
        <v>4980</v>
      </c>
      <c r="J16" s="6">
        <v>4185</v>
      </c>
      <c r="K16" s="6">
        <v>185</v>
      </c>
      <c r="L16" s="32" t="s">
        <v>37</v>
      </c>
      <c r="P16" s="24">
        <f t="shared" si="0"/>
        <v>0.32349397590361445</v>
      </c>
      <c r="S16" s="16" t="str">
        <f>IFERROR(_xlfn.XLOOKUP(O16,'Campaign Metadata'!$A$2:$A$5,'Campaign Metadata'!$B$2:$B$5),"")</f>
        <v/>
      </c>
      <c r="T16" s="16" t="str">
        <f>IFERROR(_xlfn.XLOOKUP(O16,'Campaign Metadata'!$A$2:$A$5,'Campaign Metadata'!$C$2:$C$5),"")</f>
        <v/>
      </c>
      <c r="U16" s="27" t="str">
        <f t="shared" si="2"/>
        <v>No Campaign</v>
      </c>
      <c r="V16" s="7">
        <f t="shared" si="3"/>
        <v>1611</v>
      </c>
    </row>
    <row r="17" spans="1:22" ht="16.5" customHeight="1" x14ac:dyDescent="0.3">
      <c r="A17" s="32" t="s">
        <v>181</v>
      </c>
      <c r="B17" s="32" t="s">
        <v>2</v>
      </c>
      <c r="C17" s="5" t="s">
        <v>182</v>
      </c>
      <c r="D17" s="32" t="s">
        <v>27</v>
      </c>
      <c r="E17" s="32" t="s">
        <v>183</v>
      </c>
      <c r="F17" s="6">
        <v>602</v>
      </c>
      <c r="G17" s="6">
        <v>594</v>
      </c>
      <c r="H17" s="6">
        <v>156</v>
      </c>
      <c r="I17" s="6">
        <v>4214</v>
      </c>
      <c r="J17" s="6">
        <v>3363</v>
      </c>
      <c r="K17" s="6">
        <v>164</v>
      </c>
      <c r="L17" s="32" t="s">
        <v>39</v>
      </c>
      <c r="O17" s="32" t="s">
        <v>68</v>
      </c>
      <c r="P17" s="24">
        <f t="shared" si="0"/>
        <v>0.32083531086853345</v>
      </c>
      <c r="S17" s="16" t="str">
        <f>IFERROR(_xlfn.XLOOKUP(O17,'Campaign Metadata'!$A$2:$A$5,'Campaign Metadata'!$B$2:$B$5),"")</f>
        <v>2024-12-25</v>
      </c>
      <c r="T17" s="16" t="str">
        <f>IFERROR(_xlfn.XLOOKUP(O17,'Campaign Metadata'!$A$2:$A$5,'Campaign Metadata'!$C$2:$C$5),"")</f>
        <v>2025-01-10</v>
      </c>
      <c r="U17" s="27" t="str">
        <f t="shared" si="2"/>
        <v>Before</v>
      </c>
      <c r="V17" s="7">
        <f t="shared" si="3"/>
        <v>1352</v>
      </c>
    </row>
    <row r="18" spans="1:22" ht="16.5" customHeight="1" x14ac:dyDescent="0.3">
      <c r="A18" s="32" t="s">
        <v>184</v>
      </c>
      <c r="B18" s="32" t="s">
        <v>3</v>
      </c>
      <c r="C18" s="5" t="s">
        <v>185</v>
      </c>
      <c r="D18" s="32" t="s">
        <v>26</v>
      </c>
      <c r="E18" s="32" t="s">
        <v>186</v>
      </c>
      <c r="F18" s="6">
        <v>985</v>
      </c>
      <c r="G18" s="6">
        <v>932</v>
      </c>
      <c r="H18" s="6">
        <v>287</v>
      </c>
      <c r="I18" s="6">
        <v>6895</v>
      </c>
      <c r="J18" s="6">
        <v>6757</v>
      </c>
      <c r="K18" s="6">
        <v>64</v>
      </c>
      <c r="L18" s="32" t="s">
        <v>37</v>
      </c>
      <c r="O18" s="32" t="s">
        <v>70</v>
      </c>
      <c r="P18" s="24">
        <f t="shared" si="0"/>
        <v>0.31965192168237855</v>
      </c>
      <c r="S18" s="16" t="str">
        <f>IFERROR(_xlfn.XLOOKUP(O18,'Campaign Metadata'!$A$2:$A$5,'Campaign Metadata'!$B$2:$B$5),"")</f>
        <v>2025-03-01</v>
      </c>
      <c r="T18" s="16" t="str">
        <f>IFERROR(_xlfn.XLOOKUP(O18,'Campaign Metadata'!$A$2:$A$5,'Campaign Metadata'!$C$2:$C$5),"")</f>
        <v>2025-03-31</v>
      </c>
      <c r="U18" s="27" t="str">
        <f t="shared" si="2"/>
        <v>Before</v>
      </c>
      <c r="V18" s="7">
        <f t="shared" si="3"/>
        <v>2204</v>
      </c>
    </row>
    <row r="19" spans="1:22" ht="16.5" customHeight="1" x14ac:dyDescent="0.3">
      <c r="A19" s="32" t="s">
        <v>187</v>
      </c>
      <c r="B19" s="32" t="s">
        <v>3</v>
      </c>
      <c r="C19" s="5" t="s">
        <v>188</v>
      </c>
      <c r="D19" s="32" t="s">
        <v>28</v>
      </c>
      <c r="E19" s="32" t="s">
        <v>148</v>
      </c>
      <c r="F19" s="6">
        <v>1970</v>
      </c>
      <c r="G19" s="6">
        <v>675</v>
      </c>
      <c r="H19" s="6">
        <v>478</v>
      </c>
      <c r="I19" s="6">
        <v>9850</v>
      </c>
      <c r="J19" s="6">
        <v>8924</v>
      </c>
      <c r="K19" s="6">
        <v>117</v>
      </c>
      <c r="L19" s="32" t="s">
        <v>37</v>
      </c>
      <c r="P19" s="24">
        <f t="shared" si="0"/>
        <v>0.31705583756345179</v>
      </c>
      <c r="S19" s="16" t="str">
        <f>IFERROR(_xlfn.XLOOKUP(O19,'Campaign Metadata'!$A$2:$A$5,'Campaign Metadata'!$B$2:$B$5),"")</f>
        <v/>
      </c>
      <c r="T19" s="16" t="str">
        <f>IFERROR(_xlfn.XLOOKUP(O19,'Campaign Metadata'!$A$2:$A$5,'Campaign Metadata'!$C$2:$C$5),"")</f>
        <v/>
      </c>
      <c r="U19" s="27" t="str">
        <f t="shared" si="2"/>
        <v>No Campaign</v>
      </c>
      <c r="V19" s="7">
        <f t="shared" si="3"/>
        <v>3123</v>
      </c>
    </row>
    <row r="20" spans="1:22" ht="16.5" customHeight="1" x14ac:dyDescent="0.3">
      <c r="A20" s="32" t="s">
        <v>189</v>
      </c>
      <c r="B20" s="32" t="s">
        <v>3</v>
      </c>
      <c r="C20" s="5" t="s">
        <v>190</v>
      </c>
      <c r="D20" s="32" t="s">
        <v>28</v>
      </c>
      <c r="E20" s="32" t="s">
        <v>148</v>
      </c>
      <c r="F20" s="6">
        <v>1164</v>
      </c>
      <c r="G20" s="6">
        <v>616</v>
      </c>
      <c r="H20" s="6">
        <v>324</v>
      </c>
      <c r="I20" s="6">
        <v>6984</v>
      </c>
      <c r="J20" s="6">
        <v>6636</v>
      </c>
      <c r="K20" s="6">
        <v>82</v>
      </c>
      <c r="L20" s="32" t="s">
        <v>36</v>
      </c>
      <c r="O20" s="32" t="s">
        <v>67</v>
      </c>
      <c r="P20" s="24">
        <f t="shared" si="0"/>
        <v>0.30126002290950743</v>
      </c>
      <c r="S20" s="16" t="str">
        <f>IFERROR(_xlfn.XLOOKUP(O20,'Campaign Metadata'!$A$2:$A$5,'Campaign Metadata'!$B$2:$B$5),"")</f>
        <v>2024-06-15</v>
      </c>
      <c r="T20" s="16" t="str">
        <f>IFERROR(_xlfn.XLOOKUP(O20,'Campaign Metadata'!$A$2:$A$5,'Campaign Metadata'!$C$2:$C$5),"")</f>
        <v>2024-07-15</v>
      </c>
      <c r="U20" s="27" t="str">
        <f t="shared" si="2"/>
        <v>Before</v>
      </c>
      <c r="V20" s="7">
        <f t="shared" si="3"/>
        <v>2104</v>
      </c>
    </row>
    <row r="21" spans="1:22" ht="16.5" customHeight="1" x14ac:dyDescent="0.3">
      <c r="A21" s="32" t="s">
        <v>191</v>
      </c>
      <c r="B21" s="32" t="s">
        <v>3</v>
      </c>
      <c r="C21" s="5" t="s">
        <v>192</v>
      </c>
      <c r="D21" s="32" t="s">
        <v>26</v>
      </c>
      <c r="E21" s="32" t="s">
        <v>186</v>
      </c>
      <c r="F21" s="6">
        <v>2234</v>
      </c>
      <c r="G21" s="6">
        <v>653</v>
      </c>
      <c r="H21" s="6">
        <v>432</v>
      </c>
      <c r="I21" s="6">
        <v>11170</v>
      </c>
      <c r="J21" s="6">
        <v>10569</v>
      </c>
      <c r="K21" s="6">
        <v>198</v>
      </c>
      <c r="L21" s="32" t="s">
        <v>37</v>
      </c>
      <c r="O21" s="32" t="s">
        <v>68</v>
      </c>
      <c r="P21" s="24">
        <f t="shared" si="0"/>
        <v>0.29713518352730528</v>
      </c>
      <c r="S21" s="16" t="str">
        <f>IFERROR(_xlfn.XLOOKUP(O21,'Campaign Metadata'!$A$2:$A$5,'Campaign Metadata'!$B$2:$B$5),"")</f>
        <v>2024-12-25</v>
      </c>
      <c r="T21" s="16" t="str">
        <f>IFERROR(_xlfn.XLOOKUP(O21,'Campaign Metadata'!$A$2:$A$5,'Campaign Metadata'!$C$2:$C$5),"")</f>
        <v>2025-01-10</v>
      </c>
      <c r="U21" s="27" t="str">
        <f t="shared" si="2"/>
        <v>During</v>
      </c>
      <c r="V21" s="7">
        <f t="shared" si="3"/>
        <v>3319</v>
      </c>
    </row>
    <row r="22" spans="1:22" ht="16.5" customHeight="1" x14ac:dyDescent="0.3">
      <c r="A22" s="32" t="s">
        <v>193</v>
      </c>
      <c r="B22" s="32" t="s">
        <v>4</v>
      </c>
      <c r="C22" s="5" t="s">
        <v>194</v>
      </c>
      <c r="D22" s="32" t="s">
        <v>26</v>
      </c>
      <c r="E22" s="32" t="s">
        <v>159</v>
      </c>
      <c r="F22" s="6">
        <v>432</v>
      </c>
      <c r="G22" s="6">
        <v>171</v>
      </c>
      <c r="H22" s="6">
        <v>280</v>
      </c>
      <c r="I22" s="6">
        <v>3024</v>
      </c>
      <c r="J22" s="6">
        <v>2285</v>
      </c>
      <c r="K22" s="6">
        <v>184</v>
      </c>
      <c r="L22" s="32" t="s">
        <v>36</v>
      </c>
      <c r="O22" s="32" t="s">
        <v>67</v>
      </c>
      <c r="P22" s="24">
        <f t="shared" si="0"/>
        <v>0.29199735449735448</v>
      </c>
      <c r="S22" s="16" t="str">
        <f>IFERROR(_xlfn.XLOOKUP(O22,'Campaign Metadata'!$A$2:$A$5,'Campaign Metadata'!$B$2:$B$5),"")</f>
        <v>2024-06-15</v>
      </c>
      <c r="T22" s="16" t="str">
        <f>IFERROR(_xlfn.XLOOKUP(O22,'Campaign Metadata'!$A$2:$A$5,'Campaign Metadata'!$C$2:$C$5),"")</f>
        <v>2024-07-15</v>
      </c>
      <c r="U22" s="27" t="str">
        <f t="shared" si="2"/>
        <v>Before</v>
      </c>
      <c r="V22" s="7">
        <f t="shared" si="3"/>
        <v>883</v>
      </c>
    </row>
    <row r="23" spans="1:22" ht="16.5" customHeight="1" x14ac:dyDescent="0.3">
      <c r="A23" s="32" t="s">
        <v>195</v>
      </c>
      <c r="B23" s="32" t="s">
        <v>3</v>
      </c>
      <c r="C23" s="5" t="s">
        <v>196</v>
      </c>
      <c r="D23" s="32" t="s">
        <v>29</v>
      </c>
      <c r="E23" s="32" t="s">
        <v>145</v>
      </c>
      <c r="F23" s="6">
        <v>360</v>
      </c>
      <c r="G23" s="6">
        <v>590</v>
      </c>
      <c r="H23" s="6">
        <v>393</v>
      </c>
      <c r="I23" s="6">
        <v>4680</v>
      </c>
      <c r="J23" s="6">
        <v>4322</v>
      </c>
      <c r="K23" s="6">
        <v>208</v>
      </c>
      <c r="L23" s="32" t="s">
        <v>37</v>
      </c>
      <c r="O23" s="32" t="s">
        <v>69</v>
      </c>
      <c r="P23" s="24">
        <f t="shared" si="0"/>
        <v>0.28696581196581195</v>
      </c>
      <c r="S23" s="16" t="str">
        <f>IFERROR(_xlfn.XLOOKUP(O23,'Campaign Metadata'!$A$2:$A$5,'Campaign Metadata'!$B$2:$B$5),"")</f>
        <v>2024-10-01</v>
      </c>
      <c r="T23" s="16" t="str">
        <f>IFERROR(_xlfn.XLOOKUP(O23,'Campaign Metadata'!$A$2:$A$5,'Campaign Metadata'!$C$2:$C$5),"")</f>
        <v>2024-10-31</v>
      </c>
      <c r="U23" s="27" t="str">
        <f t="shared" si="2"/>
        <v>Before</v>
      </c>
      <c r="V23" s="7">
        <f t="shared" si="3"/>
        <v>1343</v>
      </c>
    </row>
    <row r="24" spans="1:22" ht="16.5" customHeight="1" x14ac:dyDescent="0.3">
      <c r="A24" s="32"/>
      <c r="B24" s="32" t="s">
        <v>3</v>
      </c>
      <c r="C24" s="5" t="s">
        <v>114</v>
      </c>
      <c r="D24" s="32" t="s">
        <v>30</v>
      </c>
      <c r="E24" s="32" t="s">
        <v>197</v>
      </c>
      <c r="F24" s="6">
        <v>438</v>
      </c>
      <c r="G24" s="6">
        <v>153</v>
      </c>
      <c r="H24" s="6">
        <v>275</v>
      </c>
      <c r="I24" s="6">
        <v>3066</v>
      </c>
      <c r="J24" s="6">
        <v>2701</v>
      </c>
      <c r="K24" s="6">
        <v>282</v>
      </c>
      <c r="L24" s="32" t="s">
        <v>39</v>
      </c>
      <c r="O24" s="32" t="s">
        <v>69</v>
      </c>
      <c r="P24" s="24">
        <f t="shared" si="0"/>
        <v>0.28245270711024134</v>
      </c>
      <c r="S24" s="16" t="str">
        <f>IFERROR(_xlfn.XLOOKUP(O24,'Campaign Metadata'!$A$2:$A$5,'Campaign Metadata'!$B$2:$B$5),"")</f>
        <v>2024-10-01</v>
      </c>
      <c r="T24" s="16" t="str">
        <f>IFERROR(_xlfn.XLOOKUP(O24,'Campaign Metadata'!$A$2:$A$5,'Campaign Metadata'!$C$2:$C$5),"")</f>
        <v>2024-10-31</v>
      </c>
      <c r="U24" s="27" t="str">
        <f t="shared" si="2"/>
        <v>Before</v>
      </c>
      <c r="V24" s="7">
        <f t="shared" si="3"/>
        <v>866</v>
      </c>
    </row>
    <row r="25" spans="1:22" ht="16.5" customHeight="1" x14ac:dyDescent="0.3">
      <c r="A25" s="32" t="s">
        <v>198</v>
      </c>
      <c r="B25" s="32" t="s">
        <v>3</v>
      </c>
      <c r="C25" s="5" t="s">
        <v>199</v>
      </c>
      <c r="D25" s="32" t="s">
        <v>31</v>
      </c>
      <c r="E25" s="32" t="s">
        <v>154</v>
      </c>
      <c r="F25" s="6">
        <v>1431</v>
      </c>
      <c r="G25" s="6">
        <v>951</v>
      </c>
      <c r="H25" s="6">
        <v>26</v>
      </c>
      <c r="I25" s="6">
        <v>8586</v>
      </c>
      <c r="J25" s="6">
        <v>8396</v>
      </c>
      <c r="K25" s="6">
        <v>150</v>
      </c>
      <c r="L25" s="32" t="s">
        <v>36</v>
      </c>
      <c r="O25" s="32" t="s">
        <v>68</v>
      </c>
      <c r="P25" s="24">
        <f t="shared" si="0"/>
        <v>0.28045655718611695</v>
      </c>
      <c r="S25" s="16" t="str">
        <f>IFERROR(_xlfn.XLOOKUP(O25,'Campaign Metadata'!$A$2:$A$5,'Campaign Metadata'!$B$2:$B$5),"")</f>
        <v>2024-12-25</v>
      </c>
      <c r="T25" s="16" t="str">
        <f>IFERROR(_xlfn.XLOOKUP(O25,'Campaign Metadata'!$A$2:$A$5,'Campaign Metadata'!$C$2:$C$5),"")</f>
        <v>2025-01-10</v>
      </c>
      <c r="U25" s="27" t="str">
        <f t="shared" si="2"/>
        <v>Before</v>
      </c>
      <c r="V25" s="7">
        <f t="shared" si="3"/>
        <v>2408</v>
      </c>
    </row>
    <row r="26" spans="1:22" ht="16.5" customHeight="1" x14ac:dyDescent="0.3">
      <c r="A26" s="32" t="s">
        <v>200</v>
      </c>
      <c r="B26" s="32" t="s">
        <v>3</v>
      </c>
      <c r="C26" s="5" t="s">
        <v>201</v>
      </c>
      <c r="D26" s="32" t="s">
        <v>28</v>
      </c>
      <c r="E26" s="32" t="s">
        <v>148</v>
      </c>
      <c r="F26" s="6">
        <v>2603</v>
      </c>
      <c r="G26" s="6">
        <v>690</v>
      </c>
      <c r="H26" s="6">
        <v>205</v>
      </c>
      <c r="I26" s="6">
        <v>13015</v>
      </c>
      <c r="J26" s="6">
        <v>12130</v>
      </c>
      <c r="K26" s="6">
        <v>20</v>
      </c>
      <c r="L26" s="32" t="s">
        <v>37</v>
      </c>
      <c r="O26" s="32" t="s">
        <v>69</v>
      </c>
      <c r="P26" s="24">
        <f t="shared" si="0"/>
        <v>0.26876680752977333</v>
      </c>
      <c r="S26" s="16" t="str">
        <f>IFERROR(_xlfn.XLOOKUP(O26,'Campaign Metadata'!$A$2:$A$5,'Campaign Metadata'!$B$2:$B$5),"")</f>
        <v>2024-10-01</v>
      </c>
      <c r="T26" s="16" t="str">
        <f>IFERROR(_xlfn.XLOOKUP(O26,'Campaign Metadata'!$A$2:$A$5,'Campaign Metadata'!$C$2:$C$5),"")</f>
        <v>2024-10-31</v>
      </c>
      <c r="U26" s="27" t="str">
        <f t="shared" si="2"/>
        <v>Before</v>
      </c>
      <c r="V26" s="7">
        <f t="shared" si="3"/>
        <v>3498</v>
      </c>
    </row>
    <row r="27" spans="1:22" ht="16.5" customHeight="1" x14ac:dyDescent="0.3">
      <c r="A27" s="32" t="s">
        <v>202</v>
      </c>
      <c r="B27" s="32" t="s">
        <v>2</v>
      </c>
      <c r="C27" s="5" t="s">
        <v>203</v>
      </c>
      <c r="D27" s="32" t="s">
        <v>29</v>
      </c>
      <c r="E27" s="32" t="s">
        <v>204</v>
      </c>
      <c r="F27" s="6">
        <v>886</v>
      </c>
      <c r="G27" s="6">
        <v>126</v>
      </c>
      <c r="H27" s="6">
        <v>153</v>
      </c>
      <c r="I27" s="6">
        <v>4430</v>
      </c>
      <c r="J27" s="6">
        <v>4037</v>
      </c>
      <c r="K27" s="6">
        <v>212</v>
      </c>
      <c r="L27" s="32" t="s">
        <v>36</v>
      </c>
      <c r="P27" s="24">
        <f t="shared" si="0"/>
        <v>0.26297968397291194</v>
      </c>
      <c r="S27" s="16" t="str">
        <f>IFERROR(_xlfn.XLOOKUP(O27,'Campaign Metadata'!$A$2:$A$5,'Campaign Metadata'!$B$2:$B$5),"")</f>
        <v/>
      </c>
      <c r="T27" s="16" t="str">
        <f>IFERROR(_xlfn.XLOOKUP(O27,'Campaign Metadata'!$A$2:$A$5,'Campaign Metadata'!$C$2:$C$5),"")</f>
        <v/>
      </c>
      <c r="U27" s="27" t="str">
        <f t="shared" si="2"/>
        <v>No Campaign</v>
      </c>
      <c r="V27" s="7">
        <f t="shared" si="3"/>
        <v>1165</v>
      </c>
    </row>
    <row r="28" spans="1:22" ht="16.5" customHeight="1" x14ac:dyDescent="0.3">
      <c r="A28" s="32" t="s">
        <v>205</v>
      </c>
      <c r="B28" s="32" t="s">
        <v>5</v>
      </c>
      <c r="C28" s="5" t="s">
        <v>206</v>
      </c>
      <c r="D28" s="32" t="s">
        <v>31</v>
      </c>
      <c r="E28" s="32" t="s">
        <v>207</v>
      </c>
      <c r="F28" s="6">
        <v>4661</v>
      </c>
      <c r="G28" s="6">
        <v>935</v>
      </c>
      <c r="H28" s="6">
        <v>433</v>
      </c>
      <c r="I28" s="6">
        <v>23305</v>
      </c>
      <c r="J28" s="6">
        <v>22583</v>
      </c>
      <c r="K28" s="6">
        <v>63</v>
      </c>
      <c r="L28" s="32" t="s">
        <v>37</v>
      </c>
      <c r="O28" s="32" t="s">
        <v>68</v>
      </c>
      <c r="P28" s="24">
        <f t="shared" si="0"/>
        <v>0.25869984981763572</v>
      </c>
      <c r="S28" s="16" t="str">
        <f>IFERROR(_xlfn.XLOOKUP(O28,'Campaign Metadata'!$A$2:$A$5,'Campaign Metadata'!$B$2:$B$5),"")</f>
        <v>2024-12-25</v>
      </c>
      <c r="T28" s="16" t="str">
        <f>IFERROR(_xlfn.XLOOKUP(O28,'Campaign Metadata'!$A$2:$A$5,'Campaign Metadata'!$C$2:$C$5),"")</f>
        <v>2025-01-10</v>
      </c>
      <c r="U28" s="27" t="str">
        <f t="shared" si="2"/>
        <v>Before</v>
      </c>
      <c r="V28" s="7">
        <f t="shared" si="3"/>
        <v>6029</v>
      </c>
    </row>
    <row r="29" spans="1:22" ht="16.5" customHeight="1" x14ac:dyDescent="0.3">
      <c r="A29" s="32" t="s">
        <v>208</v>
      </c>
      <c r="B29" s="32" t="s">
        <v>2</v>
      </c>
      <c r="C29" s="5" t="s">
        <v>123</v>
      </c>
      <c r="D29" s="32" t="s">
        <v>30</v>
      </c>
      <c r="E29" s="32" t="s">
        <v>209</v>
      </c>
      <c r="F29" s="6">
        <v>562</v>
      </c>
      <c r="G29" s="6">
        <v>158</v>
      </c>
      <c r="H29" s="6">
        <v>149</v>
      </c>
      <c r="I29" s="6">
        <v>3372</v>
      </c>
      <c r="J29" s="6">
        <v>2940</v>
      </c>
      <c r="K29" s="6">
        <v>93</v>
      </c>
      <c r="L29" s="32" t="s">
        <v>39</v>
      </c>
      <c r="O29" s="32" t="s">
        <v>67</v>
      </c>
      <c r="P29" s="24">
        <f t="shared" si="0"/>
        <v>0.25771055753262156</v>
      </c>
      <c r="S29" s="16" t="str">
        <f>IFERROR(_xlfn.XLOOKUP(O29,'Campaign Metadata'!$A$2:$A$5,'Campaign Metadata'!$B$2:$B$5),"")</f>
        <v>2024-06-15</v>
      </c>
      <c r="T29" s="16" t="str">
        <f>IFERROR(_xlfn.XLOOKUP(O29,'Campaign Metadata'!$A$2:$A$5,'Campaign Metadata'!$C$2:$C$5),"")</f>
        <v>2024-07-15</v>
      </c>
      <c r="U29" s="27" t="str">
        <f t="shared" si="2"/>
        <v>Before</v>
      </c>
      <c r="V29" s="7">
        <f t="shared" si="3"/>
        <v>869</v>
      </c>
    </row>
    <row r="30" spans="1:22" ht="16.5" customHeight="1" x14ac:dyDescent="0.3">
      <c r="A30" s="32" t="s">
        <v>210</v>
      </c>
      <c r="B30" s="32" t="s">
        <v>4</v>
      </c>
      <c r="C30" s="5" t="s">
        <v>211</v>
      </c>
      <c r="D30" s="32" t="s">
        <v>28</v>
      </c>
      <c r="E30" s="32" t="s">
        <v>177</v>
      </c>
      <c r="F30" s="6">
        <v>1188</v>
      </c>
      <c r="G30" s="6">
        <v>470</v>
      </c>
      <c r="H30" s="6">
        <v>174</v>
      </c>
      <c r="I30" s="6">
        <v>7128</v>
      </c>
      <c r="J30" s="6">
        <v>6145</v>
      </c>
      <c r="K30" s="6">
        <v>270</v>
      </c>
      <c r="L30" s="32" t="s">
        <v>39</v>
      </c>
      <c r="O30" s="32" t="s">
        <v>70</v>
      </c>
      <c r="P30" s="24">
        <f t="shared" si="0"/>
        <v>0.25701459034792368</v>
      </c>
      <c r="S30" s="16" t="str">
        <f>IFERROR(_xlfn.XLOOKUP(O30,'Campaign Metadata'!$A$2:$A$5,'Campaign Metadata'!$B$2:$B$5),"")</f>
        <v>2025-03-01</v>
      </c>
      <c r="T30" s="16" t="str">
        <f>IFERROR(_xlfn.XLOOKUP(O30,'Campaign Metadata'!$A$2:$A$5,'Campaign Metadata'!$C$2:$C$5),"")</f>
        <v>2025-03-31</v>
      </c>
      <c r="U30" s="27" t="str">
        <f t="shared" si="2"/>
        <v>Before</v>
      </c>
      <c r="V30" s="7">
        <f t="shared" si="3"/>
        <v>1832</v>
      </c>
    </row>
    <row r="31" spans="1:22" ht="16.5" customHeight="1" x14ac:dyDescent="0.3">
      <c r="A31" s="32" t="s">
        <v>212</v>
      </c>
      <c r="B31" s="32" t="s">
        <v>3</v>
      </c>
      <c r="C31" s="5" t="s">
        <v>213</v>
      </c>
      <c r="D31" s="32" t="s">
        <v>26</v>
      </c>
      <c r="E31" s="32" t="s">
        <v>186</v>
      </c>
      <c r="F31" s="6">
        <v>1741</v>
      </c>
      <c r="G31" s="6">
        <v>164</v>
      </c>
      <c r="H31" s="6">
        <v>318</v>
      </c>
      <c r="I31" s="6">
        <v>8705</v>
      </c>
      <c r="J31" s="6">
        <v>8272</v>
      </c>
      <c r="K31" s="6">
        <v>121</v>
      </c>
      <c r="L31" s="32" t="s">
        <v>39</v>
      </c>
      <c r="P31" s="24">
        <f t="shared" si="0"/>
        <v>0.25537047673750718</v>
      </c>
      <c r="S31" s="16" t="str">
        <f>IFERROR(_xlfn.XLOOKUP(O31,'Campaign Metadata'!$A$2:$A$5,'Campaign Metadata'!$B$2:$B$5),"")</f>
        <v/>
      </c>
      <c r="T31" s="16" t="str">
        <f>IFERROR(_xlfn.XLOOKUP(O31,'Campaign Metadata'!$A$2:$A$5,'Campaign Metadata'!$C$2:$C$5),"")</f>
        <v/>
      </c>
      <c r="U31" s="27" t="str">
        <f t="shared" si="2"/>
        <v>No Campaign</v>
      </c>
      <c r="V31" s="7">
        <f t="shared" si="3"/>
        <v>2223</v>
      </c>
    </row>
    <row r="32" spans="1:22" ht="16.5" customHeight="1" x14ac:dyDescent="0.3">
      <c r="A32" s="32" t="s">
        <v>214</v>
      </c>
      <c r="B32" s="32" t="s">
        <v>4</v>
      </c>
      <c r="C32" s="5" t="s">
        <v>215</v>
      </c>
      <c r="D32" s="32" t="s">
        <v>26</v>
      </c>
      <c r="E32" s="32" t="s">
        <v>159</v>
      </c>
      <c r="F32" s="6">
        <v>1877</v>
      </c>
      <c r="G32" s="6">
        <v>745</v>
      </c>
      <c r="H32" s="6">
        <v>225</v>
      </c>
      <c r="I32" s="6">
        <v>11262</v>
      </c>
      <c r="J32" s="6">
        <v>10967</v>
      </c>
      <c r="K32" s="6">
        <v>41</v>
      </c>
      <c r="L32" s="32" t="s">
        <v>36</v>
      </c>
      <c r="O32" s="32" t="s">
        <v>70</v>
      </c>
      <c r="P32" s="24">
        <f t="shared" si="0"/>
        <v>0.25279701651571657</v>
      </c>
      <c r="S32" s="16" t="str">
        <f>IFERROR(_xlfn.XLOOKUP(O32,'Campaign Metadata'!$A$2:$A$5,'Campaign Metadata'!$B$2:$B$5),"")</f>
        <v>2025-03-01</v>
      </c>
      <c r="T32" s="16" t="str">
        <f>IFERROR(_xlfn.XLOOKUP(O32,'Campaign Metadata'!$A$2:$A$5,'Campaign Metadata'!$C$2:$C$5),"")</f>
        <v>2025-03-31</v>
      </c>
      <c r="U32" s="27" t="str">
        <f t="shared" si="2"/>
        <v>Before</v>
      </c>
      <c r="V32" s="7">
        <f t="shared" si="3"/>
        <v>2847</v>
      </c>
    </row>
    <row r="33" spans="1:22" ht="16.5" customHeight="1" x14ac:dyDescent="0.3">
      <c r="A33" s="32" t="s">
        <v>216</v>
      </c>
      <c r="B33" s="32" t="s">
        <v>5</v>
      </c>
      <c r="C33" s="5" t="s">
        <v>125</v>
      </c>
      <c r="D33" s="32" t="s">
        <v>30</v>
      </c>
      <c r="E33" s="32" t="s">
        <v>217</v>
      </c>
      <c r="F33" s="6">
        <v>4188</v>
      </c>
      <c r="G33" s="6">
        <v>942</v>
      </c>
      <c r="H33" s="6">
        <v>118</v>
      </c>
      <c r="I33" s="6">
        <v>20940</v>
      </c>
      <c r="J33" s="6">
        <v>20471</v>
      </c>
      <c r="K33" s="6">
        <v>102</v>
      </c>
      <c r="L33" s="32" t="s">
        <v>37</v>
      </c>
      <c r="P33" s="24">
        <f t="shared" si="0"/>
        <v>0.25062082139446035</v>
      </c>
      <c r="S33" s="16" t="str">
        <f>IFERROR(_xlfn.XLOOKUP(O33,'Campaign Metadata'!$A$2:$A$5,'Campaign Metadata'!$B$2:$B$5),"")</f>
        <v/>
      </c>
      <c r="T33" s="16" t="str">
        <f>IFERROR(_xlfn.XLOOKUP(O33,'Campaign Metadata'!$A$2:$A$5,'Campaign Metadata'!$C$2:$C$5),"")</f>
        <v/>
      </c>
      <c r="U33" s="27" t="str">
        <f t="shared" si="2"/>
        <v>No Campaign</v>
      </c>
      <c r="V33" s="7">
        <f t="shared" si="3"/>
        <v>5248</v>
      </c>
    </row>
    <row r="34" spans="1:22" ht="16.5" customHeight="1" x14ac:dyDescent="0.3">
      <c r="A34" s="32" t="s">
        <v>218</v>
      </c>
      <c r="B34" s="32" t="s">
        <v>2</v>
      </c>
      <c r="C34" s="5" t="s">
        <v>179</v>
      </c>
      <c r="D34" s="32" t="s">
        <v>27</v>
      </c>
      <c r="E34" s="32" t="s">
        <v>183</v>
      </c>
      <c r="F34" s="6">
        <v>4236</v>
      </c>
      <c r="G34" s="6">
        <v>711</v>
      </c>
      <c r="H34" s="6">
        <v>298</v>
      </c>
      <c r="I34" s="6">
        <v>21180</v>
      </c>
      <c r="J34" s="6">
        <v>20516</v>
      </c>
      <c r="K34" s="6">
        <v>238</v>
      </c>
      <c r="L34" s="32" t="s">
        <v>37</v>
      </c>
      <c r="O34" s="32" t="s">
        <v>67</v>
      </c>
      <c r="P34" s="24">
        <f t="shared" si="0"/>
        <v>0.24763928234183191</v>
      </c>
      <c r="S34" s="16" t="str">
        <f>IFERROR(_xlfn.XLOOKUP(O34,'Campaign Metadata'!$A$2:$A$5,'Campaign Metadata'!$B$2:$B$5),"")</f>
        <v>2024-06-15</v>
      </c>
      <c r="T34" s="16" t="str">
        <f>IFERROR(_xlfn.XLOOKUP(O34,'Campaign Metadata'!$A$2:$A$5,'Campaign Metadata'!$C$2:$C$5),"")</f>
        <v>2024-07-15</v>
      </c>
      <c r="U34" s="27" t="str">
        <f t="shared" si="2"/>
        <v>Before</v>
      </c>
      <c r="V34" s="7">
        <f t="shared" si="3"/>
        <v>5245</v>
      </c>
    </row>
    <row r="35" spans="1:22" ht="16.5" customHeight="1" x14ac:dyDescent="0.3">
      <c r="A35" s="32" t="s">
        <v>219</v>
      </c>
      <c r="B35" s="32" t="s">
        <v>4</v>
      </c>
      <c r="C35" s="5" t="s">
        <v>220</v>
      </c>
      <c r="D35" s="32" t="s">
        <v>30</v>
      </c>
      <c r="E35" s="32" t="s">
        <v>221</v>
      </c>
      <c r="F35" s="6">
        <v>2166</v>
      </c>
      <c r="G35" s="6">
        <v>354</v>
      </c>
      <c r="H35" s="6">
        <v>117</v>
      </c>
      <c r="I35" s="6">
        <v>10830</v>
      </c>
      <c r="J35" s="6">
        <v>10245</v>
      </c>
      <c r="K35" s="6">
        <v>24</v>
      </c>
      <c r="L35" s="32" t="s">
        <v>36</v>
      </c>
      <c r="O35" s="32" t="s">
        <v>70</v>
      </c>
      <c r="P35" s="24">
        <f t="shared" si="0"/>
        <v>0.24349030470914126</v>
      </c>
      <c r="S35" s="16" t="str">
        <f>IFERROR(_xlfn.XLOOKUP(O35,'Campaign Metadata'!$A$2:$A$5,'Campaign Metadata'!$B$2:$B$5),"")</f>
        <v>2025-03-01</v>
      </c>
      <c r="T35" s="16" t="str">
        <f>IFERROR(_xlfn.XLOOKUP(O35,'Campaign Metadata'!$A$2:$A$5,'Campaign Metadata'!$C$2:$C$5),"")</f>
        <v>2025-03-31</v>
      </c>
      <c r="U35" s="27" t="str">
        <f t="shared" si="2"/>
        <v>Before</v>
      </c>
      <c r="V35" s="7">
        <f t="shared" si="3"/>
        <v>2637</v>
      </c>
    </row>
    <row r="36" spans="1:22" ht="16.5" customHeight="1" x14ac:dyDescent="0.3">
      <c r="A36" s="32" t="s">
        <v>222</v>
      </c>
      <c r="B36" s="32" t="s">
        <v>5</v>
      </c>
      <c r="C36" s="5" t="s">
        <v>223</v>
      </c>
      <c r="D36" s="32" t="s">
        <v>27</v>
      </c>
      <c r="E36" s="32" t="s">
        <v>168</v>
      </c>
      <c r="F36" s="6">
        <v>606</v>
      </c>
      <c r="G36" s="6">
        <v>789</v>
      </c>
      <c r="H36" s="6">
        <v>470</v>
      </c>
      <c r="I36" s="6">
        <v>7878</v>
      </c>
      <c r="J36" s="6">
        <v>7389</v>
      </c>
      <c r="K36" s="6">
        <v>239</v>
      </c>
      <c r="L36" s="32" t="s">
        <v>36</v>
      </c>
      <c r="O36" s="32" t="s">
        <v>68</v>
      </c>
      <c r="P36" s="24">
        <f t="shared" si="0"/>
        <v>0.23673521198273673</v>
      </c>
      <c r="S36" s="16" t="str">
        <f>IFERROR(_xlfn.XLOOKUP(O36,'Campaign Metadata'!$A$2:$A$5,'Campaign Metadata'!$B$2:$B$5),"")</f>
        <v>2024-12-25</v>
      </c>
      <c r="T36" s="16" t="str">
        <f>IFERROR(_xlfn.XLOOKUP(O36,'Campaign Metadata'!$A$2:$A$5,'Campaign Metadata'!$C$2:$C$5),"")</f>
        <v>2025-01-10</v>
      </c>
      <c r="U36" s="27" t="str">
        <f t="shared" si="2"/>
        <v>Before</v>
      </c>
      <c r="V36" s="7">
        <f t="shared" si="3"/>
        <v>1865</v>
      </c>
    </row>
    <row r="37" spans="1:22" ht="16.5" customHeight="1" x14ac:dyDescent="0.3">
      <c r="A37" s="32" t="s">
        <v>224</v>
      </c>
      <c r="B37" s="32" t="s">
        <v>2</v>
      </c>
      <c r="C37" s="5" t="s">
        <v>225</v>
      </c>
      <c r="D37" s="32" t="s">
        <v>27</v>
      </c>
      <c r="E37" s="32" t="s">
        <v>183</v>
      </c>
      <c r="F37" s="6">
        <v>400</v>
      </c>
      <c r="G37" s="6">
        <v>680</v>
      </c>
      <c r="H37" s="6">
        <v>434</v>
      </c>
      <c r="I37" s="6">
        <v>6400</v>
      </c>
      <c r="J37" s="6">
        <v>5472</v>
      </c>
      <c r="K37" s="6">
        <v>160</v>
      </c>
      <c r="L37" s="32" t="s">
        <v>37</v>
      </c>
      <c r="O37" s="32" t="s">
        <v>69</v>
      </c>
      <c r="P37" s="24">
        <f t="shared" si="0"/>
        <v>0.23656250000000001</v>
      </c>
      <c r="S37" s="16" t="str">
        <f>IFERROR(_xlfn.XLOOKUP(O37,'Campaign Metadata'!$A$2:$A$5,'Campaign Metadata'!$B$2:$B$5),"")</f>
        <v>2024-10-01</v>
      </c>
      <c r="T37" s="16" t="str">
        <f>IFERROR(_xlfn.XLOOKUP(O37,'Campaign Metadata'!$A$2:$A$5,'Campaign Metadata'!$C$2:$C$5),"")</f>
        <v>2024-10-31</v>
      </c>
      <c r="U37" s="27" t="str">
        <f t="shared" si="2"/>
        <v>During</v>
      </c>
      <c r="V37" s="7">
        <f t="shared" si="3"/>
        <v>1514</v>
      </c>
    </row>
    <row r="38" spans="1:22" ht="16.5" customHeight="1" x14ac:dyDescent="0.3">
      <c r="A38" s="32" t="s">
        <v>226</v>
      </c>
      <c r="B38" s="32" t="s">
        <v>3</v>
      </c>
      <c r="C38" s="5" t="s">
        <v>227</v>
      </c>
      <c r="D38" s="32" t="s">
        <v>29</v>
      </c>
      <c r="E38" s="32" t="s">
        <v>145</v>
      </c>
      <c r="F38" s="6">
        <v>4363</v>
      </c>
      <c r="G38" s="6">
        <v>649</v>
      </c>
      <c r="H38" s="6">
        <v>140</v>
      </c>
      <c r="I38" s="6">
        <v>21815</v>
      </c>
      <c r="J38" s="6">
        <v>21481</v>
      </c>
      <c r="K38" s="6">
        <v>157</v>
      </c>
      <c r="L38" s="32" t="s">
        <v>36</v>
      </c>
      <c r="O38" s="32" t="s">
        <v>67</v>
      </c>
      <c r="P38" s="24">
        <f t="shared" si="0"/>
        <v>0.23616777446710979</v>
      </c>
      <c r="S38" s="16" t="str">
        <f>IFERROR(_xlfn.XLOOKUP(O38,'Campaign Metadata'!$A$2:$A$5,'Campaign Metadata'!$B$2:$B$5),"")</f>
        <v>2024-06-15</v>
      </c>
      <c r="T38" s="16" t="str">
        <f>IFERROR(_xlfn.XLOOKUP(O38,'Campaign Metadata'!$A$2:$A$5,'Campaign Metadata'!$C$2:$C$5),"")</f>
        <v>2024-07-15</v>
      </c>
      <c r="U38" s="27" t="str">
        <f t="shared" si="2"/>
        <v>Before</v>
      </c>
      <c r="V38" s="7">
        <f t="shared" si="3"/>
        <v>5152</v>
      </c>
    </row>
    <row r="39" spans="1:22" ht="16.5" customHeight="1" x14ac:dyDescent="0.3">
      <c r="A39" s="32" t="s">
        <v>228</v>
      </c>
      <c r="B39" s="32" t="s">
        <v>2</v>
      </c>
      <c r="C39" s="5" t="s">
        <v>106</v>
      </c>
      <c r="D39" s="32" t="s">
        <v>29</v>
      </c>
      <c r="E39" s="32" t="s">
        <v>204</v>
      </c>
      <c r="F39" s="6">
        <v>780</v>
      </c>
      <c r="G39" s="6">
        <v>928</v>
      </c>
      <c r="H39" s="6">
        <v>301</v>
      </c>
      <c r="I39" s="6">
        <v>8580</v>
      </c>
      <c r="J39" s="6">
        <v>8081</v>
      </c>
      <c r="K39" s="6">
        <v>91</v>
      </c>
      <c r="L39" s="32" t="s">
        <v>36</v>
      </c>
      <c r="O39" s="32" t="s">
        <v>68</v>
      </c>
      <c r="P39" s="24">
        <f t="shared" si="0"/>
        <v>0.23414918414918415</v>
      </c>
      <c r="S39" s="16" t="str">
        <f>IFERROR(_xlfn.XLOOKUP(O39,'Campaign Metadata'!$A$2:$A$5,'Campaign Metadata'!$B$2:$B$5),"")</f>
        <v>2024-12-25</v>
      </c>
      <c r="T39" s="16" t="str">
        <f>IFERROR(_xlfn.XLOOKUP(O39,'Campaign Metadata'!$A$2:$A$5,'Campaign Metadata'!$C$2:$C$5),"")</f>
        <v>2025-01-10</v>
      </c>
      <c r="U39" s="27" t="str">
        <f t="shared" si="2"/>
        <v>Before</v>
      </c>
      <c r="V39" s="7">
        <f t="shared" si="3"/>
        <v>2009</v>
      </c>
    </row>
    <row r="40" spans="1:22" ht="16.5" customHeight="1" x14ac:dyDescent="0.3">
      <c r="A40" s="32" t="s">
        <v>229</v>
      </c>
      <c r="B40" s="32" t="s">
        <v>4</v>
      </c>
      <c r="C40" s="5" t="s">
        <v>230</v>
      </c>
      <c r="D40" s="32" t="s">
        <v>27</v>
      </c>
      <c r="E40" s="32" t="s">
        <v>162</v>
      </c>
      <c r="F40" s="6">
        <v>3170</v>
      </c>
      <c r="G40" s="6">
        <v>857</v>
      </c>
      <c r="H40" s="6">
        <v>379</v>
      </c>
      <c r="I40" s="6">
        <v>19020</v>
      </c>
      <c r="J40" s="6">
        <v>18559</v>
      </c>
      <c r="K40" s="6">
        <v>240</v>
      </c>
      <c r="L40" s="32" t="s">
        <v>37</v>
      </c>
      <c r="P40" s="24">
        <f t="shared" si="0"/>
        <v>0.2316508937960042</v>
      </c>
      <c r="S40" s="16" t="str">
        <f>IFERROR(_xlfn.XLOOKUP(O40,'Campaign Metadata'!$A$2:$A$5,'Campaign Metadata'!$B$2:$B$5),"")</f>
        <v/>
      </c>
      <c r="T40" s="16" t="str">
        <f>IFERROR(_xlfn.XLOOKUP(O40,'Campaign Metadata'!$A$2:$A$5,'Campaign Metadata'!$C$2:$C$5),"")</f>
        <v/>
      </c>
      <c r="U40" s="27" t="str">
        <f t="shared" si="2"/>
        <v>No Campaign</v>
      </c>
      <c r="V40" s="7">
        <f t="shared" si="3"/>
        <v>4406</v>
      </c>
    </row>
    <row r="41" spans="1:22" ht="16.5" customHeight="1" x14ac:dyDescent="0.3">
      <c r="A41" s="32" t="s">
        <v>231</v>
      </c>
      <c r="B41" s="32" t="s">
        <v>3</v>
      </c>
      <c r="C41" s="5" t="s">
        <v>232</v>
      </c>
      <c r="D41" s="32" t="s">
        <v>27</v>
      </c>
      <c r="E41" s="32" t="s">
        <v>173</v>
      </c>
      <c r="F41" s="6">
        <v>4501</v>
      </c>
      <c r="G41" s="6">
        <v>375</v>
      </c>
      <c r="H41" s="6">
        <v>323</v>
      </c>
      <c r="I41" s="6">
        <v>22505</v>
      </c>
      <c r="J41" s="6">
        <v>21836</v>
      </c>
      <c r="K41" s="6">
        <v>132</v>
      </c>
      <c r="L41" s="32" t="s">
        <v>39</v>
      </c>
      <c r="O41" s="32" t="s">
        <v>69</v>
      </c>
      <c r="P41" s="24">
        <f t="shared" si="0"/>
        <v>0.23101532992668297</v>
      </c>
      <c r="S41" s="16" t="str">
        <f>IFERROR(_xlfn.XLOOKUP(O41,'Campaign Metadata'!$A$2:$A$5,'Campaign Metadata'!$B$2:$B$5),"")</f>
        <v>2024-10-01</v>
      </c>
      <c r="T41" s="16" t="str">
        <f>IFERROR(_xlfn.XLOOKUP(O41,'Campaign Metadata'!$A$2:$A$5,'Campaign Metadata'!$C$2:$C$5),"")</f>
        <v>2024-10-31</v>
      </c>
      <c r="U41" s="27" t="str">
        <f t="shared" si="2"/>
        <v>Before</v>
      </c>
      <c r="V41" s="7">
        <f t="shared" si="3"/>
        <v>5199</v>
      </c>
    </row>
    <row r="42" spans="1:22" ht="16.5" customHeight="1" x14ac:dyDescent="0.3">
      <c r="A42" s="32" t="s">
        <v>233</v>
      </c>
      <c r="B42" s="32" t="s">
        <v>3</v>
      </c>
      <c r="C42" s="5" t="s">
        <v>234</v>
      </c>
      <c r="D42" s="32" t="s">
        <v>31</v>
      </c>
      <c r="E42" s="32" t="s">
        <v>154</v>
      </c>
      <c r="F42" s="6">
        <v>4561</v>
      </c>
      <c r="G42" s="6">
        <v>51</v>
      </c>
      <c r="H42" s="6">
        <v>441</v>
      </c>
      <c r="I42" s="6">
        <v>22805</v>
      </c>
      <c r="J42" s="6">
        <v>21890</v>
      </c>
      <c r="K42" s="6">
        <v>45</v>
      </c>
      <c r="L42" s="32" t="s">
        <v>39</v>
      </c>
      <c r="O42" s="32" t="s">
        <v>69</v>
      </c>
      <c r="P42" s="24">
        <f t="shared" si="0"/>
        <v>0.22157421618066214</v>
      </c>
      <c r="S42" s="16" t="str">
        <f>IFERROR(_xlfn.XLOOKUP(O42,'Campaign Metadata'!$A$2:$A$5,'Campaign Metadata'!$B$2:$B$5),"")</f>
        <v>2024-10-01</v>
      </c>
      <c r="T42" s="16" t="str">
        <f>IFERROR(_xlfn.XLOOKUP(O42,'Campaign Metadata'!$A$2:$A$5,'Campaign Metadata'!$C$2:$C$5),"")</f>
        <v>2024-10-31</v>
      </c>
      <c r="U42" s="27" t="str">
        <f t="shared" si="2"/>
        <v>Before</v>
      </c>
      <c r="V42" s="7">
        <f t="shared" si="3"/>
        <v>5053</v>
      </c>
    </row>
    <row r="43" spans="1:22" ht="16.5" customHeight="1" x14ac:dyDescent="0.3">
      <c r="A43" s="32" t="s">
        <v>235</v>
      </c>
      <c r="B43" s="32" t="s">
        <v>5</v>
      </c>
      <c r="C43" s="5" t="s">
        <v>236</v>
      </c>
      <c r="D43" s="32" t="s">
        <v>28</v>
      </c>
      <c r="E43" s="32" t="s">
        <v>237</v>
      </c>
      <c r="F43" s="6">
        <v>1543</v>
      </c>
      <c r="G43" s="6">
        <v>820</v>
      </c>
      <c r="H43" s="6">
        <v>333</v>
      </c>
      <c r="I43" s="6">
        <v>12344</v>
      </c>
      <c r="J43" s="6">
        <v>11496</v>
      </c>
      <c r="K43" s="6">
        <v>241</v>
      </c>
      <c r="L43" s="32" t="s">
        <v>36</v>
      </c>
      <c r="P43" s="24">
        <f t="shared" si="0"/>
        <v>0.21840570317563188</v>
      </c>
      <c r="S43" s="16" t="str">
        <f>IFERROR(_xlfn.XLOOKUP(O43,'Campaign Metadata'!$A$2:$A$5,'Campaign Metadata'!$B$2:$B$5),"")</f>
        <v/>
      </c>
      <c r="T43" s="16" t="str">
        <f>IFERROR(_xlfn.XLOOKUP(O43,'Campaign Metadata'!$A$2:$A$5,'Campaign Metadata'!$C$2:$C$5),"")</f>
        <v/>
      </c>
      <c r="U43" s="27" t="str">
        <f t="shared" si="2"/>
        <v>No Campaign</v>
      </c>
      <c r="V43" s="7">
        <f t="shared" si="3"/>
        <v>2696</v>
      </c>
    </row>
    <row r="44" spans="1:22" ht="16.5" customHeight="1" x14ac:dyDescent="0.3">
      <c r="A44" s="32" t="s">
        <v>238</v>
      </c>
      <c r="B44" s="32" t="s">
        <v>3</v>
      </c>
      <c r="C44" s="5" t="s">
        <v>239</v>
      </c>
      <c r="D44" s="32" t="s">
        <v>26</v>
      </c>
      <c r="E44" s="32" t="s">
        <v>186</v>
      </c>
      <c r="F44" s="6">
        <v>2174</v>
      </c>
      <c r="G44" s="6">
        <v>658</v>
      </c>
      <c r="H44" s="6">
        <v>15</v>
      </c>
      <c r="I44" s="6">
        <v>13044</v>
      </c>
      <c r="J44" s="6">
        <v>12206</v>
      </c>
      <c r="K44" s="6">
        <v>137</v>
      </c>
      <c r="L44" s="32" t="s">
        <v>39</v>
      </c>
      <c r="O44" s="32" t="s">
        <v>68</v>
      </c>
      <c r="P44" s="24">
        <f t="shared" si="0"/>
        <v>0.21826126954921804</v>
      </c>
      <c r="S44" s="16" t="str">
        <f>IFERROR(_xlfn.XLOOKUP(O44,'Campaign Metadata'!$A$2:$A$5,'Campaign Metadata'!$B$2:$B$5),"")</f>
        <v>2024-12-25</v>
      </c>
      <c r="T44" s="16" t="str">
        <f>IFERROR(_xlfn.XLOOKUP(O44,'Campaign Metadata'!$A$2:$A$5,'Campaign Metadata'!$C$2:$C$5),"")</f>
        <v>2025-01-10</v>
      </c>
      <c r="U44" s="27" t="str">
        <f t="shared" si="2"/>
        <v>Before</v>
      </c>
      <c r="V44" s="7">
        <f t="shared" si="3"/>
        <v>2847</v>
      </c>
    </row>
    <row r="45" spans="1:22" ht="16.5" customHeight="1" x14ac:dyDescent="0.3">
      <c r="A45" s="32" t="s">
        <v>240</v>
      </c>
      <c r="B45" s="32" t="s">
        <v>2</v>
      </c>
      <c r="C45" s="5" t="s">
        <v>111</v>
      </c>
      <c r="D45" s="32" t="s">
        <v>29</v>
      </c>
      <c r="E45" s="32" t="s">
        <v>204</v>
      </c>
      <c r="F45" s="6">
        <v>2120</v>
      </c>
      <c r="G45" s="6">
        <v>158</v>
      </c>
      <c r="H45" s="6">
        <v>488</v>
      </c>
      <c r="I45" s="6">
        <v>12720</v>
      </c>
      <c r="J45" s="6">
        <v>12085</v>
      </c>
      <c r="K45" s="6">
        <v>17</v>
      </c>
      <c r="L45" s="32" t="s">
        <v>37</v>
      </c>
      <c r="O45" s="32" t="s">
        <v>69</v>
      </c>
      <c r="P45" s="24">
        <f t="shared" si="0"/>
        <v>0.21745283018867925</v>
      </c>
      <c r="S45" s="16" t="str">
        <f>IFERROR(_xlfn.XLOOKUP(O45,'Campaign Metadata'!$A$2:$A$5,'Campaign Metadata'!$B$2:$B$5),"")</f>
        <v>2024-10-01</v>
      </c>
      <c r="T45" s="16" t="str">
        <f>IFERROR(_xlfn.XLOOKUP(O45,'Campaign Metadata'!$A$2:$A$5,'Campaign Metadata'!$C$2:$C$5),"")</f>
        <v>2024-10-31</v>
      </c>
      <c r="U45" s="27" t="str">
        <f t="shared" si="2"/>
        <v>Before</v>
      </c>
      <c r="V45" s="7">
        <f t="shared" si="3"/>
        <v>2766</v>
      </c>
    </row>
    <row r="46" spans="1:22" ht="16.5" customHeight="1" x14ac:dyDescent="0.3">
      <c r="A46" s="32" t="s">
        <v>241</v>
      </c>
      <c r="B46" s="32" t="s">
        <v>5</v>
      </c>
      <c r="C46" s="5" t="s">
        <v>242</v>
      </c>
      <c r="D46" s="32" t="s">
        <v>28</v>
      </c>
      <c r="E46" s="32" t="s">
        <v>237</v>
      </c>
      <c r="F46" s="6">
        <v>3065</v>
      </c>
      <c r="G46" s="6">
        <v>772</v>
      </c>
      <c r="H46" s="6">
        <v>142</v>
      </c>
      <c r="I46" s="6">
        <v>18390</v>
      </c>
      <c r="J46" s="6">
        <v>17875</v>
      </c>
      <c r="K46" s="6">
        <v>200</v>
      </c>
      <c r="L46" s="32" t="s">
        <v>36</v>
      </c>
      <c r="M46" s="27" t="s">
        <v>34</v>
      </c>
      <c r="P46" s="24">
        <f t="shared" si="0"/>
        <v>0.21636759108210984</v>
      </c>
      <c r="S46" s="16" t="str">
        <f>IFERROR(_xlfn.XLOOKUP(O46,'Campaign Metadata'!$A$2:$A$5,'Campaign Metadata'!$B$2:$B$5),"")</f>
        <v/>
      </c>
      <c r="T46" s="16" t="str">
        <f>IFERROR(_xlfn.XLOOKUP(O46,'Campaign Metadata'!$A$2:$A$5,'Campaign Metadata'!$C$2:$C$5),"")</f>
        <v/>
      </c>
      <c r="U46" s="27" t="str">
        <f t="shared" si="2"/>
        <v>No Campaign</v>
      </c>
      <c r="V46" s="7">
        <f t="shared" si="3"/>
        <v>3979</v>
      </c>
    </row>
    <row r="47" spans="1:22" ht="16.5" customHeight="1" x14ac:dyDescent="0.3">
      <c r="A47" s="32" t="s">
        <v>243</v>
      </c>
      <c r="B47" s="32" t="s">
        <v>3</v>
      </c>
      <c r="C47" s="5" t="s">
        <v>244</v>
      </c>
      <c r="D47" s="32" t="s">
        <v>26</v>
      </c>
      <c r="E47" s="32" t="s">
        <v>186</v>
      </c>
      <c r="F47" s="6">
        <v>2566</v>
      </c>
      <c r="G47" s="6">
        <v>118</v>
      </c>
      <c r="H47" s="6">
        <v>37</v>
      </c>
      <c r="I47" s="6">
        <v>12830</v>
      </c>
      <c r="J47" s="6">
        <v>12264</v>
      </c>
      <c r="K47" s="6">
        <v>221</v>
      </c>
      <c r="L47" s="32" t="s">
        <v>37</v>
      </c>
      <c r="O47" s="32" t="s">
        <v>68</v>
      </c>
      <c r="P47" s="24">
        <f t="shared" si="0"/>
        <v>0.21208106001558846</v>
      </c>
      <c r="S47" s="16" t="str">
        <f>IFERROR(_xlfn.XLOOKUP(O47,'Campaign Metadata'!$A$2:$A$5,'Campaign Metadata'!$B$2:$B$5),"")</f>
        <v>2024-12-25</v>
      </c>
      <c r="T47" s="16" t="str">
        <f>IFERROR(_xlfn.XLOOKUP(O47,'Campaign Metadata'!$A$2:$A$5,'Campaign Metadata'!$C$2:$C$5),"")</f>
        <v>2025-01-10</v>
      </c>
      <c r="U47" s="27" t="str">
        <f t="shared" si="2"/>
        <v>Before</v>
      </c>
      <c r="V47" s="7">
        <f t="shared" si="3"/>
        <v>2721</v>
      </c>
    </row>
    <row r="48" spans="1:22" ht="16.5" customHeight="1" x14ac:dyDescent="0.3">
      <c r="A48" s="32" t="s">
        <v>245</v>
      </c>
      <c r="B48" s="32" t="s">
        <v>2</v>
      </c>
      <c r="C48" s="5" t="s">
        <v>246</v>
      </c>
      <c r="D48" s="32" t="s">
        <v>31</v>
      </c>
      <c r="E48" s="32" t="s">
        <v>171</v>
      </c>
      <c r="F48" s="6">
        <v>3008</v>
      </c>
      <c r="G48" s="6">
        <v>94</v>
      </c>
      <c r="H48" s="6">
        <v>37</v>
      </c>
      <c r="I48" s="6">
        <v>15040</v>
      </c>
      <c r="J48" s="6">
        <v>14639</v>
      </c>
      <c r="K48" s="6">
        <v>277</v>
      </c>
      <c r="L48" s="32" t="s">
        <v>37</v>
      </c>
      <c r="P48" s="24">
        <f t="shared" si="0"/>
        <v>0.20871010638297871</v>
      </c>
      <c r="S48" s="16" t="str">
        <f>IFERROR(_xlfn.XLOOKUP(O48,'Campaign Metadata'!$A$2:$A$5,'Campaign Metadata'!$B$2:$B$5),"")</f>
        <v/>
      </c>
      <c r="T48" s="16" t="str">
        <f>IFERROR(_xlfn.XLOOKUP(O48,'Campaign Metadata'!$A$2:$A$5,'Campaign Metadata'!$C$2:$C$5),"")</f>
        <v/>
      </c>
      <c r="U48" s="27" t="str">
        <f t="shared" si="2"/>
        <v>No Campaign</v>
      </c>
      <c r="V48" s="7">
        <f t="shared" si="3"/>
        <v>3139</v>
      </c>
    </row>
    <row r="49" spans="1:22" ht="16.5" customHeight="1" x14ac:dyDescent="0.3">
      <c r="A49" s="32" t="s">
        <v>247</v>
      </c>
      <c r="B49" s="32" t="s">
        <v>4</v>
      </c>
      <c r="C49" s="5" t="s">
        <v>248</v>
      </c>
      <c r="D49" s="32" t="s">
        <v>31</v>
      </c>
      <c r="E49" s="32" t="s">
        <v>249</v>
      </c>
      <c r="F49" s="6">
        <v>1436</v>
      </c>
      <c r="G49" s="6">
        <v>765</v>
      </c>
      <c r="H49" s="6">
        <v>496</v>
      </c>
      <c r="I49" s="6">
        <v>12924</v>
      </c>
      <c r="J49" s="6">
        <v>12701</v>
      </c>
      <c r="K49" s="6">
        <v>197</v>
      </c>
      <c r="L49" s="32" t="s">
        <v>37</v>
      </c>
      <c r="O49" s="32" t="s">
        <v>68</v>
      </c>
      <c r="P49" s="24">
        <f t="shared" si="0"/>
        <v>0.20868152274837512</v>
      </c>
      <c r="S49" s="16" t="str">
        <f>IFERROR(_xlfn.XLOOKUP(O49,'Campaign Metadata'!$A$2:$A$5,'Campaign Metadata'!$B$2:$B$5),"")</f>
        <v>2024-12-25</v>
      </c>
      <c r="T49" s="16" t="str">
        <f>IFERROR(_xlfn.XLOOKUP(O49,'Campaign Metadata'!$A$2:$A$5,'Campaign Metadata'!$C$2:$C$5),"")</f>
        <v>2025-01-10</v>
      </c>
      <c r="U49" s="27" t="str">
        <f t="shared" si="2"/>
        <v>Before</v>
      </c>
      <c r="V49" s="7">
        <f t="shared" si="3"/>
        <v>2697</v>
      </c>
    </row>
    <row r="50" spans="1:22" ht="16.5" customHeight="1" x14ac:dyDescent="0.3">
      <c r="A50" s="32" t="s">
        <v>250</v>
      </c>
      <c r="B50" s="32" t="s">
        <v>3</v>
      </c>
      <c r="C50" s="5" t="s">
        <v>251</v>
      </c>
      <c r="D50" s="32" t="s">
        <v>31</v>
      </c>
      <c r="E50" s="32" t="s">
        <v>154</v>
      </c>
      <c r="F50" s="6">
        <v>3575</v>
      </c>
      <c r="G50" s="6">
        <v>749</v>
      </c>
      <c r="H50" s="6">
        <v>111</v>
      </c>
      <c r="I50" s="6">
        <v>21450</v>
      </c>
      <c r="J50" s="6">
        <v>20785</v>
      </c>
      <c r="K50" s="6">
        <v>195</v>
      </c>
      <c r="L50" s="32" t="s">
        <v>36</v>
      </c>
      <c r="O50" s="32" t="s">
        <v>69</v>
      </c>
      <c r="P50" s="24">
        <f t="shared" si="0"/>
        <v>0.20675990675990677</v>
      </c>
      <c r="S50" s="16" t="str">
        <f>IFERROR(_xlfn.XLOOKUP(O50,'Campaign Metadata'!$A$2:$A$5,'Campaign Metadata'!$B$2:$B$5),"")</f>
        <v>2024-10-01</v>
      </c>
      <c r="T50" s="16" t="str">
        <f>IFERROR(_xlfn.XLOOKUP(O50,'Campaign Metadata'!$A$2:$A$5,'Campaign Metadata'!$C$2:$C$5),"")</f>
        <v>2024-10-31</v>
      </c>
      <c r="U50" s="27" t="str">
        <f t="shared" si="2"/>
        <v>During</v>
      </c>
      <c r="V50" s="7">
        <f t="shared" si="3"/>
        <v>4435</v>
      </c>
    </row>
    <row r="51" spans="1:22" ht="16.5" customHeight="1" x14ac:dyDescent="0.3">
      <c r="A51" s="32" t="s">
        <v>252</v>
      </c>
      <c r="B51" s="32" t="s">
        <v>2</v>
      </c>
      <c r="C51" s="5" t="s">
        <v>253</v>
      </c>
      <c r="D51" s="32" t="s">
        <v>29</v>
      </c>
      <c r="E51" s="32" t="s">
        <v>204</v>
      </c>
      <c r="F51" s="6">
        <v>1249</v>
      </c>
      <c r="G51" s="6">
        <v>116</v>
      </c>
      <c r="H51" s="6">
        <v>420</v>
      </c>
      <c r="I51" s="6">
        <v>8743</v>
      </c>
      <c r="J51" s="6">
        <v>8538</v>
      </c>
      <c r="K51" s="6">
        <v>63</v>
      </c>
      <c r="L51" s="32" t="s">
        <v>39</v>
      </c>
      <c r="P51" s="24">
        <f t="shared" si="0"/>
        <v>0.20416333066453163</v>
      </c>
      <c r="S51" s="16" t="str">
        <f>IFERROR(_xlfn.XLOOKUP(O51,'Campaign Metadata'!$A$2:$A$5,'Campaign Metadata'!$B$2:$B$5),"")</f>
        <v/>
      </c>
      <c r="T51" s="16" t="str">
        <f>IFERROR(_xlfn.XLOOKUP(O51,'Campaign Metadata'!$A$2:$A$5,'Campaign Metadata'!$C$2:$C$5),"")</f>
        <v/>
      </c>
      <c r="U51" s="27" t="str">
        <f t="shared" si="2"/>
        <v>No Campaign</v>
      </c>
      <c r="V51" s="7">
        <f t="shared" si="3"/>
        <v>1785</v>
      </c>
    </row>
    <row r="52" spans="1:22" ht="16.5" customHeight="1" x14ac:dyDescent="0.3">
      <c r="A52" s="32" t="s">
        <v>254</v>
      </c>
      <c r="B52" s="32" t="s">
        <v>3</v>
      </c>
      <c r="C52" s="5" t="s">
        <v>255</v>
      </c>
      <c r="D52" s="32" t="s">
        <v>30</v>
      </c>
      <c r="E52" s="32" t="s">
        <v>197</v>
      </c>
      <c r="F52" s="6">
        <v>3134</v>
      </c>
      <c r="G52" s="6">
        <v>888</v>
      </c>
      <c r="H52" s="6">
        <v>444</v>
      </c>
      <c r="I52" s="6">
        <v>21938</v>
      </c>
      <c r="J52" s="6">
        <v>21337</v>
      </c>
      <c r="K52" s="6">
        <v>130</v>
      </c>
      <c r="L52" s="32" t="s">
        <v>36</v>
      </c>
      <c r="O52" s="32" t="s">
        <v>70</v>
      </c>
      <c r="P52" s="24">
        <f t="shared" si="0"/>
        <v>0.20357370772176134</v>
      </c>
      <c r="S52" s="16" t="str">
        <f>IFERROR(_xlfn.XLOOKUP(O52,'Campaign Metadata'!$A$2:$A$5,'Campaign Metadata'!$B$2:$B$5),"")</f>
        <v>2025-03-01</v>
      </c>
      <c r="T52" s="16" t="str">
        <f>IFERROR(_xlfn.XLOOKUP(O52,'Campaign Metadata'!$A$2:$A$5,'Campaign Metadata'!$C$2:$C$5),"")</f>
        <v>2025-03-31</v>
      </c>
      <c r="U52" s="27" t="str">
        <f t="shared" si="2"/>
        <v>Before</v>
      </c>
      <c r="V52" s="7">
        <f t="shared" si="3"/>
        <v>4466</v>
      </c>
    </row>
    <row r="53" spans="1:22" ht="16.5" customHeight="1" x14ac:dyDescent="0.3">
      <c r="A53" s="32" t="s">
        <v>256</v>
      </c>
      <c r="B53" s="32" t="s">
        <v>3</v>
      </c>
      <c r="C53" s="5" t="s">
        <v>95</v>
      </c>
      <c r="D53" s="32" t="s">
        <v>29</v>
      </c>
      <c r="E53" s="32" t="s">
        <v>145</v>
      </c>
      <c r="F53" s="6">
        <v>3601</v>
      </c>
      <c r="G53" s="6">
        <v>695</v>
      </c>
      <c r="H53" s="6">
        <v>75</v>
      </c>
      <c r="I53" s="6">
        <v>21606</v>
      </c>
      <c r="J53" s="6">
        <v>21454</v>
      </c>
      <c r="K53" s="6">
        <v>172</v>
      </c>
      <c r="L53" s="32" t="s">
        <v>36</v>
      </c>
      <c r="O53" s="32" t="s">
        <v>69</v>
      </c>
      <c r="P53" s="24">
        <f t="shared" si="0"/>
        <v>0.2023049153013052</v>
      </c>
      <c r="S53" s="16" t="str">
        <f>IFERROR(_xlfn.XLOOKUP(O53,'Campaign Metadata'!$A$2:$A$5,'Campaign Metadata'!$B$2:$B$5),"")</f>
        <v>2024-10-01</v>
      </c>
      <c r="T53" s="16" t="str">
        <f>IFERROR(_xlfn.XLOOKUP(O53,'Campaign Metadata'!$A$2:$A$5,'Campaign Metadata'!$C$2:$C$5),"")</f>
        <v>2024-10-31</v>
      </c>
      <c r="U53" s="27" t="str">
        <f t="shared" si="2"/>
        <v>Before</v>
      </c>
      <c r="V53" s="7">
        <f t="shared" si="3"/>
        <v>4371</v>
      </c>
    </row>
    <row r="54" spans="1:22" ht="16.5" customHeight="1" x14ac:dyDescent="0.3">
      <c r="A54" s="32" t="s">
        <v>257</v>
      </c>
      <c r="B54" s="32" t="s">
        <v>4</v>
      </c>
      <c r="C54" s="5" t="s">
        <v>258</v>
      </c>
      <c r="D54" s="32" t="s">
        <v>26</v>
      </c>
      <c r="E54" s="32" t="s">
        <v>159</v>
      </c>
      <c r="F54" s="6">
        <v>1556</v>
      </c>
      <c r="G54" s="6">
        <v>195</v>
      </c>
      <c r="H54" s="6">
        <v>131</v>
      </c>
      <c r="I54" s="6">
        <v>9336</v>
      </c>
      <c r="J54" s="6">
        <v>8875</v>
      </c>
      <c r="K54" s="6">
        <v>137</v>
      </c>
      <c r="L54" s="32" t="s">
        <v>39</v>
      </c>
      <c r="O54" s="32" t="s">
        <v>69</v>
      </c>
      <c r="P54" s="24">
        <f t="shared" si="0"/>
        <v>0.2015852613538989</v>
      </c>
      <c r="S54" s="16" t="str">
        <f>IFERROR(_xlfn.XLOOKUP(O54,'Campaign Metadata'!$A$2:$A$5,'Campaign Metadata'!$B$2:$B$5),"")</f>
        <v>2024-10-01</v>
      </c>
      <c r="T54" s="16" t="str">
        <f>IFERROR(_xlfn.XLOOKUP(O54,'Campaign Metadata'!$A$2:$A$5,'Campaign Metadata'!$C$2:$C$5),"")</f>
        <v>2024-10-31</v>
      </c>
      <c r="U54" s="27" t="str">
        <f t="shared" si="2"/>
        <v>Before</v>
      </c>
      <c r="V54" s="7">
        <f t="shared" si="3"/>
        <v>1882</v>
      </c>
    </row>
    <row r="55" spans="1:22" ht="16.5" customHeight="1" x14ac:dyDescent="0.3">
      <c r="A55" s="32" t="s">
        <v>259</v>
      </c>
      <c r="B55" s="32" t="s">
        <v>3</v>
      </c>
      <c r="C55" s="5" t="s">
        <v>147</v>
      </c>
      <c r="D55" s="32" t="s">
        <v>31</v>
      </c>
      <c r="E55" s="32" t="s">
        <v>154</v>
      </c>
      <c r="F55" s="6">
        <v>4133</v>
      </c>
      <c r="G55" s="6">
        <v>466</v>
      </c>
      <c r="H55" s="6">
        <v>327</v>
      </c>
      <c r="I55" s="6">
        <v>24798</v>
      </c>
      <c r="J55" s="6">
        <v>24620</v>
      </c>
      <c r="K55" s="6">
        <v>176</v>
      </c>
      <c r="L55" s="32" t="s">
        <v>36</v>
      </c>
      <c r="O55" s="32" t="s">
        <v>70</v>
      </c>
      <c r="P55" s="24">
        <f t="shared" si="0"/>
        <v>0.19864505202032423</v>
      </c>
      <c r="S55" s="16" t="str">
        <f>IFERROR(_xlfn.XLOOKUP(O55,'Campaign Metadata'!$A$2:$A$5,'Campaign Metadata'!$B$2:$B$5),"")</f>
        <v>2025-03-01</v>
      </c>
      <c r="T55" s="16" t="str">
        <f>IFERROR(_xlfn.XLOOKUP(O55,'Campaign Metadata'!$A$2:$A$5,'Campaign Metadata'!$C$2:$C$5),"")</f>
        <v>2025-03-31</v>
      </c>
      <c r="U55" s="27" t="str">
        <f t="shared" si="2"/>
        <v>Before</v>
      </c>
      <c r="V55" s="7">
        <f t="shared" si="3"/>
        <v>4926</v>
      </c>
    </row>
    <row r="56" spans="1:22" ht="16.5" customHeight="1" x14ac:dyDescent="0.3">
      <c r="A56" s="32" t="s">
        <v>260</v>
      </c>
      <c r="B56" s="32" t="s">
        <v>4</v>
      </c>
      <c r="C56" s="5" t="s">
        <v>261</v>
      </c>
      <c r="D56" s="32" t="s">
        <v>27</v>
      </c>
      <c r="E56" s="32" t="s">
        <v>162</v>
      </c>
      <c r="F56" s="6">
        <v>1048</v>
      </c>
      <c r="G56" s="6">
        <v>374</v>
      </c>
      <c r="H56" s="6">
        <v>450</v>
      </c>
      <c r="I56" s="6">
        <v>9432</v>
      </c>
      <c r="J56" s="6">
        <v>8882</v>
      </c>
      <c r="K56" s="6">
        <v>158</v>
      </c>
      <c r="L56" s="32" t="s">
        <v>39</v>
      </c>
      <c r="O56" s="32" t="s">
        <v>68</v>
      </c>
      <c r="P56" s="24">
        <f t="shared" si="0"/>
        <v>0.19847328244274809</v>
      </c>
      <c r="S56" s="16" t="str">
        <f>IFERROR(_xlfn.XLOOKUP(O56,'Campaign Metadata'!$A$2:$A$5,'Campaign Metadata'!$B$2:$B$5),"")</f>
        <v>2024-12-25</v>
      </c>
      <c r="T56" s="16" t="str">
        <f>IFERROR(_xlfn.XLOOKUP(O56,'Campaign Metadata'!$A$2:$A$5,'Campaign Metadata'!$C$2:$C$5),"")</f>
        <v>2025-01-10</v>
      </c>
      <c r="U56" s="27" t="str">
        <f t="shared" si="2"/>
        <v>Before</v>
      </c>
      <c r="V56" s="7">
        <f t="shared" si="3"/>
        <v>1872</v>
      </c>
    </row>
    <row r="57" spans="1:22" ht="16.5" customHeight="1" x14ac:dyDescent="0.3">
      <c r="A57" s="32" t="s">
        <v>262</v>
      </c>
      <c r="B57" s="32" t="s">
        <v>2</v>
      </c>
      <c r="C57" s="5" t="s">
        <v>263</v>
      </c>
      <c r="D57" s="32" t="s">
        <v>27</v>
      </c>
      <c r="E57" s="32" t="s">
        <v>183</v>
      </c>
      <c r="F57" s="6">
        <v>4804</v>
      </c>
      <c r="G57" s="6">
        <v>550</v>
      </c>
      <c r="H57" s="6">
        <v>270</v>
      </c>
      <c r="I57" s="6">
        <v>28824</v>
      </c>
      <c r="J57" s="6">
        <v>28370</v>
      </c>
      <c r="K57" s="6">
        <v>47</v>
      </c>
      <c r="L57" s="32" t="s">
        <v>36</v>
      </c>
      <c r="O57" s="32" t="s">
        <v>70</v>
      </c>
      <c r="P57" s="24">
        <f t="shared" si="0"/>
        <v>0.19511518179295032</v>
      </c>
      <c r="S57" s="16" t="str">
        <f>IFERROR(_xlfn.XLOOKUP(O57,'Campaign Metadata'!$A$2:$A$5,'Campaign Metadata'!$B$2:$B$5),"")</f>
        <v>2025-03-01</v>
      </c>
      <c r="T57" s="16" t="str">
        <f>IFERROR(_xlfn.XLOOKUP(O57,'Campaign Metadata'!$A$2:$A$5,'Campaign Metadata'!$C$2:$C$5),"")</f>
        <v>2025-03-31</v>
      </c>
      <c r="U57" s="27" t="str">
        <f t="shared" si="2"/>
        <v>Before</v>
      </c>
      <c r="V57" s="7">
        <f t="shared" si="3"/>
        <v>5624</v>
      </c>
    </row>
    <row r="58" spans="1:22" ht="16.5" customHeight="1" x14ac:dyDescent="0.3">
      <c r="A58" s="32" t="s">
        <v>264</v>
      </c>
      <c r="B58" s="32" t="s">
        <v>5</v>
      </c>
      <c r="C58" s="5" t="s">
        <v>265</v>
      </c>
      <c r="D58" s="32" t="s">
        <v>31</v>
      </c>
      <c r="E58" s="32" t="s">
        <v>207</v>
      </c>
      <c r="F58" s="6">
        <v>3389</v>
      </c>
      <c r="G58" s="6">
        <v>344</v>
      </c>
      <c r="H58" s="6">
        <v>229</v>
      </c>
      <c r="I58" s="6">
        <v>20334</v>
      </c>
      <c r="J58" s="6">
        <v>19443</v>
      </c>
      <c r="K58" s="6">
        <v>228</v>
      </c>
      <c r="L58" s="32" t="s">
        <v>37</v>
      </c>
      <c r="O58" s="32" t="s">
        <v>68</v>
      </c>
      <c r="P58" s="24">
        <f t="shared" si="0"/>
        <v>0.19484607062063539</v>
      </c>
      <c r="S58" s="16" t="str">
        <f>IFERROR(_xlfn.XLOOKUP(O58,'Campaign Metadata'!$A$2:$A$5,'Campaign Metadata'!$B$2:$B$5),"")</f>
        <v>2024-12-25</v>
      </c>
      <c r="T58" s="16" t="str">
        <f>IFERROR(_xlfn.XLOOKUP(O58,'Campaign Metadata'!$A$2:$A$5,'Campaign Metadata'!$C$2:$C$5),"")</f>
        <v>2025-01-10</v>
      </c>
      <c r="U58" s="27" t="str">
        <f t="shared" si="2"/>
        <v>Before</v>
      </c>
      <c r="V58" s="7">
        <f t="shared" si="3"/>
        <v>3962</v>
      </c>
    </row>
    <row r="59" spans="1:22" ht="16.5" customHeight="1" x14ac:dyDescent="0.3">
      <c r="A59" s="32" t="s">
        <v>266</v>
      </c>
      <c r="B59" s="32" t="s">
        <v>3</v>
      </c>
      <c r="C59" s="5" t="s">
        <v>267</v>
      </c>
      <c r="D59" s="32" t="s">
        <v>29</v>
      </c>
      <c r="E59" s="32" t="s">
        <v>145</v>
      </c>
      <c r="F59" s="6">
        <v>2610</v>
      </c>
      <c r="G59" s="6">
        <v>126</v>
      </c>
      <c r="H59" s="6">
        <v>288</v>
      </c>
      <c r="I59" s="6">
        <v>15660</v>
      </c>
      <c r="J59" s="6">
        <v>15145</v>
      </c>
      <c r="K59" s="6">
        <v>73</v>
      </c>
      <c r="L59" s="32" t="s">
        <v>36</v>
      </c>
      <c r="P59" s="24">
        <f t="shared" si="0"/>
        <v>0.19310344827586207</v>
      </c>
      <c r="S59" s="16" t="str">
        <f>IFERROR(_xlfn.XLOOKUP(O59,'Campaign Metadata'!$A$2:$A$5,'Campaign Metadata'!$B$2:$B$5),"")</f>
        <v/>
      </c>
      <c r="T59" s="16" t="str">
        <f>IFERROR(_xlfn.XLOOKUP(O59,'Campaign Metadata'!$A$2:$A$5,'Campaign Metadata'!$C$2:$C$5),"")</f>
        <v/>
      </c>
      <c r="U59" s="27" t="str">
        <f t="shared" si="2"/>
        <v>No Campaign</v>
      </c>
      <c r="V59" s="7">
        <f t="shared" si="3"/>
        <v>3024</v>
      </c>
    </row>
    <row r="60" spans="1:22" ht="16.5" customHeight="1" x14ac:dyDescent="0.3">
      <c r="A60" s="32" t="s">
        <v>268</v>
      </c>
      <c r="B60" s="32" t="s">
        <v>3</v>
      </c>
      <c r="C60" s="5" t="s">
        <v>269</v>
      </c>
      <c r="D60" s="32" t="s">
        <v>27</v>
      </c>
      <c r="E60" s="32" t="s">
        <v>173</v>
      </c>
      <c r="F60" s="6">
        <v>4177</v>
      </c>
      <c r="G60" s="6">
        <v>569</v>
      </c>
      <c r="H60" s="6">
        <v>55</v>
      </c>
      <c r="I60" s="6">
        <v>25062</v>
      </c>
      <c r="J60" s="6">
        <v>24847</v>
      </c>
      <c r="K60" s="6">
        <v>230</v>
      </c>
      <c r="L60" s="32" t="s">
        <v>37</v>
      </c>
      <c r="O60" s="32" t="s">
        <v>67</v>
      </c>
      <c r="P60" s="24">
        <f t="shared" si="0"/>
        <v>0.19156491900087783</v>
      </c>
      <c r="S60" s="16" t="str">
        <f>IFERROR(_xlfn.XLOOKUP(O60,'Campaign Metadata'!$A$2:$A$5,'Campaign Metadata'!$B$2:$B$5),"")</f>
        <v>2024-06-15</v>
      </c>
      <c r="T60" s="16" t="str">
        <f>IFERROR(_xlfn.XLOOKUP(O60,'Campaign Metadata'!$A$2:$A$5,'Campaign Metadata'!$C$2:$C$5),"")</f>
        <v>2024-07-15</v>
      </c>
      <c r="U60" s="27" t="str">
        <f t="shared" si="2"/>
        <v>Before</v>
      </c>
      <c r="V60" s="7">
        <f t="shared" si="3"/>
        <v>4801</v>
      </c>
    </row>
    <row r="61" spans="1:22" ht="16.5" customHeight="1" x14ac:dyDescent="0.3">
      <c r="A61" s="32" t="s">
        <v>270</v>
      </c>
      <c r="B61" s="32" t="s">
        <v>4</v>
      </c>
      <c r="C61" s="5" t="s">
        <v>246</v>
      </c>
      <c r="D61" s="32" t="s">
        <v>26</v>
      </c>
      <c r="E61" s="32" t="s">
        <v>159</v>
      </c>
      <c r="F61" s="6">
        <v>2278</v>
      </c>
      <c r="G61" s="6">
        <v>10</v>
      </c>
      <c r="H61" s="6">
        <v>321</v>
      </c>
      <c r="I61" s="6">
        <v>13668</v>
      </c>
      <c r="J61" s="6">
        <v>12676</v>
      </c>
      <c r="K61" s="6">
        <v>275</v>
      </c>
      <c r="L61" s="32" t="s">
        <v>36</v>
      </c>
      <c r="O61" s="32" t="s">
        <v>67</v>
      </c>
      <c r="P61" s="24">
        <f t="shared" si="0"/>
        <v>0.19088381621305239</v>
      </c>
      <c r="S61" s="16" t="str">
        <f>IFERROR(_xlfn.XLOOKUP(O61,'Campaign Metadata'!$A$2:$A$5,'Campaign Metadata'!$B$2:$B$5),"")</f>
        <v>2024-06-15</v>
      </c>
      <c r="T61" s="16" t="str">
        <f>IFERROR(_xlfn.XLOOKUP(O61,'Campaign Metadata'!$A$2:$A$5,'Campaign Metadata'!$C$2:$C$5),"")</f>
        <v>2024-07-15</v>
      </c>
      <c r="U61" s="27" t="str">
        <f t="shared" si="2"/>
        <v>Before</v>
      </c>
      <c r="V61" s="7">
        <f t="shared" si="3"/>
        <v>2609</v>
      </c>
    </row>
    <row r="62" spans="1:22" ht="16.5" customHeight="1" x14ac:dyDescent="0.3">
      <c r="A62" s="32" t="s">
        <v>271</v>
      </c>
      <c r="B62" s="32" t="s">
        <v>2</v>
      </c>
      <c r="C62" s="5" t="s">
        <v>272</v>
      </c>
      <c r="D62" s="32" t="s">
        <v>26</v>
      </c>
      <c r="E62" s="32" t="s">
        <v>273</v>
      </c>
      <c r="F62" s="6">
        <v>1869</v>
      </c>
      <c r="G62" s="6">
        <v>453</v>
      </c>
      <c r="H62" s="6">
        <v>490</v>
      </c>
      <c r="I62" s="6">
        <v>14952</v>
      </c>
      <c r="J62" s="6">
        <v>14309</v>
      </c>
      <c r="K62" s="6">
        <v>275</v>
      </c>
      <c r="L62" s="32" t="s">
        <v>39</v>
      </c>
      <c r="O62" s="32" t="s">
        <v>70</v>
      </c>
      <c r="P62" s="24">
        <f t="shared" si="0"/>
        <v>0.18806848582129482</v>
      </c>
      <c r="S62" s="16" t="str">
        <f>IFERROR(_xlfn.XLOOKUP(O62,'Campaign Metadata'!$A$2:$A$5,'Campaign Metadata'!$B$2:$B$5),"")</f>
        <v>2025-03-01</v>
      </c>
      <c r="T62" s="16" t="str">
        <f>IFERROR(_xlfn.XLOOKUP(O62,'Campaign Metadata'!$A$2:$A$5,'Campaign Metadata'!$C$2:$C$5),"")</f>
        <v>2025-03-31</v>
      </c>
      <c r="U62" s="27" t="str">
        <f t="shared" si="2"/>
        <v>Before</v>
      </c>
      <c r="V62" s="7">
        <f t="shared" si="3"/>
        <v>2812</v>
      </c>
    </row>
    <row r="63" spans="1:22" ht="16.5" customHeight="1" x14ac:dyDescent="0.3">
      <c r="A63" s="32" t="s">
        <v>274</v>
      </c>
      <c r="B63" s="32" t="s">
        <v>4</v>
      </c>
      <c r="C63" s="5" t="s">
        <v>275</v>
      </c>
      <c r="D63" s="32" t="s">
        <v>26</v>
      </c>
      <c r="E63" s="32" t="s">
        <v>159</v>
      </c>
      <c r="F63" s="6">
        <v>2120</v>
      </c>
      <c r="G63" s="6">
        <v>38</v>
      </c>
      <c r="H63" s="6">
        <v>212</v>
      </c>
      <c r="I63" s="6">
        <v>12720</v>
      </c>
      <c r="J63" s="6">
        <v>12564</v>
      </c>
      <c r="K63" s="6">
        <v>21</v>
      </c>
      <c r="L63" s="32" t="s">
        <v>37</v>
      </c>
      <c r="O63" s="32" t="s">
        <v>70</v>
      </c>
      <c r="P63" s="24">
        <f t="shared" si="0"/>
        <v>0.18632075471698112</v>
      </c>
      <c r="S63" s="16" t="str">
        <f>IFERROR(_xlfn.XLOOKUP(O63,'Campaign Metadata'!$A$2:$A$5,'Campaign Metadata'!$B$2:$B$5),"")</f>
        <v>2025-03-01</v>
      </c>
      <c r="T63" s="16" t="str">
        <f>IFERROR(_xlfn.XLOOKUP(O63,'Campaign Metadata'!$A$2:$A$5,'Campaign Metadata'!$C$2:$C$5),"")</f>
        <v>2025-03-31</v>
      </c>
      <c r="U63" s="27" t="str">
        <f t="shared" si="2"/>
        <v>Before</v>
      </c>
      <c r="V63" s="7">
        <f t="shared" si="3"/>
        <v>2370</v>
      </c>
    </row>
    <row r="64" spans="1:22" ht="16.5" customHeight="1" x14ac:dyDescent="0.3">
      <c r="A64" s="32" t="s">
        <v>276</v>
      </c>
      <c r="B64" s="32" t="s">
        <v>2</v>
      </c>
      <c r="C64" s="5" t="s">
        <v>277</v>
      </c>
      <c r="D64" s="32" t="s">
        <v>28</v>
      </c>
      <c r="E64" s="32" t="s">
        <v>278</v>
      </c>
      <c r="F64" s="6">
        <v>4767</v>
      </c>
      <c r="G64" s="6">
        <v>190</v>
      </c>
      <c r="H64" s="6">
        <v>340</v>
      </c>
      <c r="I64" s="6">
        <v>28602</v>
      </c>
      <c r="J64" s="6">
        <v>28044</v>
      </c>
      <c r="K64" s="6">
        <v>210</v>
      </c>
      <c r="L64" s="32" t="s">
        <v>36</v>
      </c>
      <c r="O64" s="32" t="s">
        <v>68</v>
      </c>
      <c r="P64" s="24">
        <f t="shared" si="0"/>
        <v>0.18519683938186141</v>
      </c>
      <c r="S64" s="16" t="str">
        <f>IFERROR(_xlfn.XLOOKUP(O64,'Campaign Metadata'!$A$2:$A$5,'Campaign Metadata'!$B$2:$B$5),"")</f>
        <v>2024-12-25</v>
      </c>
      <c r="T64" s="16" t="str">
        <f>IFERROR(_xlfn.XLOOKUP(O64,'Campaign Metadata'!$A$2:$A$5,'Campaign Metadata'!$C$2:$C$5),"")</f>
        <v>2025-01-10</v>
      </c>
      <c r="U64" s="27" t="str">
        <f t="shared" si="2"/>
        <v>Before</v>
      </c>
      <c r="V64" s="7">
        <f t="shared" si="3"/>
        <v>5297</v>
      </c>
    </row>
    <row r="65" spans="1:22" ht="16.5" customHeight="1" x14ac:dyDescent="0.3">
      <c r="A65" s="32" t="s">
        <v>279</v>
      </c>
      <c r="B65" s="32" t="s">
        <v>3</v>
      </c>
      <c r="C65" s="5" t="s">
        <v>280</v>
      </c>
      <c r="D65" s="32" t="s">
        <v>28</v>
      </c>
      <c r="E65" s="32" t="s">
        <v>148</v>
      </c>
      <c r="F65" s="6">
        <v>456</v>
      </c>
      <c r="G65" s="6">
        <v>629</v>
      </c>
      <c r="H65" s="6">
        <v>428</v>
      </c>
      <c r="I65" s="6">
        <v>8208</v>
      </c>
      <c r="J65" s="6">
        <v>7377</v>
      </c>
      <c r="K65" s="6">
        <v>205</v>
      </c>
      <c r="L65" s="32" t="s">
        <v>37</v>
      </c>
      <c r="O65" s="32" t="s">
        <v>70</v>
      </c>
      <c r="P65" s="24">
        <f t="shared" si="0"/>
        <v>0.18433235867446393</v>
      </c>
      <c r="S65" s="16" t="str">
        <f>IFERROR(_xlfn.XLOOKUP(O65,'Campaign Metadata'!$A$2:$A$5,'Campaign Metadata'!$B$2:$B$5),"")</f>
        <v>2025-03-01</v>
      </c>
      <c r="T65" s="16" t="str">
        <f>IFERROR(_xlfn.XLOOKUP(O65,'Campaign Metadata'!$A$2:$A$5,'Campaign Metadata'!$C$2:$C$5),"")</f>
        <v>2025-03-31</v>
      </c>
      <c r="U65" s="27" t="str">
        <f t="shared" si="2"/>
        <v>During</v>
      </c>
      <c r="V65" s="7">
        <f t="shared" si="3"/>
        <v>1513</v>
      </c>
    </row>
    <row r="66" spans="1:22" ht="16.5" customHeight="1" x14ac:dyDescent="0.3">
      <c r="A66" s="32" t="s">
        <v>281</v>
      </c>
      <c r="B66" s="32" t="s">
        <v>2</v>
      </c>
      <c r="C66" s="5" t="s">
        <v>282</v>
      </c>
      <c r="D66" s="32" t="s">
        <v>26</v>
      </c>
      <c r="E66" s="32" t="s">
        <v>273</v>
      </c>
      <c r="F66" s="6">
        <v>4731</v>
      </c>
      <c r="G66" s="6">
        <v>173</v>
      </c>
      <c r="H66" s="6">
        <v>276</v>
      </c>
      <c r="I66" s="6">
        <v>28386</v>
      </c>
      <c r="J66" s="6">
        <v>28185</v>
      </c>
      <c r="K66" s="6">
        <v>89</v>
      </c>
      <c r="L66" s="32" t="s">
        <v>36</v>
      </c>
      <c r="O66" s="32" t="s">
        <v>68</v>
      </c>
      <c r="P66" s="24">
        <f t="shared" ref="P66:P129" si="4">(F66+G66+H66)/I66</f>
        <v>0.18248432325794406</v>
      </c>
      <c r="S66" s="16" t="str">
        <f>IFERROR(_xlfn.XLOOKUP(O66,'Campaign Metadata'!$A$2:$A$5,'Campaign Metadata'!$B$2:$B$5),"")</f>
        <v>2024-12-25</v>
      </c>
      <c r="T66" s="16" t="str">
        <f>IFERROR(_xlfn.XLOOKUP(O66,'Campaign Metadata'!$A$2:$A$5,'Campaign Metadata'!$C$2:$C$5),"")</f>
        <v>2025-01-10</v>
      </c>
      <c r="U66" s="27" t="str">
        <f t="shared" si="2"/>
        <v>Before</v>
      </c>
      <c r="V66" s="7">
        <f t="shared" si="3"/>
        <v>5180</v>
      </c>
    </row>
    <row r="67" spans="1:22" ht="16.5" customHeight="1" x14ac:dyDescent="0.3">
      <c r="A67" s="32" t="s">
        <v>283</v>
      </c>
      <c r="B67" s="32" t="s">
        <v>2</v>
      </c>
      <c r="C67" s="5" t="s">
        <v>284</v>
      </c>
      <c r="D67" s="32" t="s">
        <v>26</v>
      </c>
      <c r="E67" s="32" t="s">
        <v>273</v>
      </c>
      <c r="F67" s="6">
        <v>2945</v>
      </c>
      <c r="G67" s="6">
        <v>930</v>
      </c>
      <c r="H67" s="6">
        <v>355</v>
      </c>
      <c r="I67" s="6">
        <v>23560</v>
      </c>
      <c r="J67" s="6">
        <v>23275</v>
      </c>
      <c r="K67" s="6">
        <v>256</v>
      </c>
      <c r="L67" s="32" t="s">
        <v>39</v>
      </c>
      <c r="O67" s="32" t="s">
        <v>69</v>
      </c>
      <c r="P67" s="24">
        <f t="shared" si="4"/>
        <v>0.17954159592529711</v>
      </c>
      <c r="S67" s="16" t="str">
        <f>IFERROR(_xlfn.XLOOKUP(O67,'Campaign Metadata'!$A$2:$A$5,'Campaign Metadata'!$B$2:$B$5),"")</f>
        <v>2024-10-01</v>
      </c>
      <c r="T67" s="16" t="str">
        <f>IFERROR(_xlfn.XLOOKUP(O67,'Campaign Metadata'!$A$2:$A$5,'Campaign Metadata'!$C$2:$C$5),"")</f>
        <v>2024-10-31</v>
      </c>
      <c r="U67" s="27" t="str">
        <f t="shared" ref="U67:U130" si="5">IF(O67="","No Campaign",IF(AND(C67&gt;=S67,C67&lt;=T67),"During","Before"))</f>
        <v>During</v>
      </c>
      <c r="V67" s="7">
        <f t="shared" ref="V67:V130" si="6">F67+G67+H67</f>
        <v>4230</v>
      </c>
    </row>
    <row r="68" spans="1:22" ht="16.5" customHeight="1" x14ac:dyDescent="0.3">
      <c r="A68" s="32" t="s">
        <v>285</v>
      </c>
      <c r="B68" s="32" t="s">
        <v>4</v>
      </c>
      <c r="C68" s="5" t="s">
        <v>192</v>
      </c>
      <c r="D68" s="32" t="s">
        <v>31</v>
      </c>
      <c r="E68" s="32" t="s">
        <v>249</v>
      </c>
      <c r="F68" s="6">
        <v>754</v>
      </c>
      <c r="G68" s="6">
        <v>197</v>
      </c>
      <c r="H68" s="6">
        <v>257</v>
      </c>
      <c r="I68" s="6">
        <v>6786</v>
      </c>
      <c r="J68" s="6">
        <v>6221</v>
      </c>
      <c r="K68" s="6">
        <v>212</v>
      </c>
      <c r="L68" s="32" t="s">
        <v>39</v>
      </c>
      <c r="O68" s="32" t="s">
        <v>68</v>
      </c>
      <c r="P68" s="24">
        <f t="shared" si="4"/>
        <v>0.17801355732390214</v>
      </c>
      <c r="S68" s="16" t="str">
        <f>IFERROR(_xlfn.XLOOKUP(O68,'Campaign Metadata'!$A$2:$A$5,'Campaign Metadata'!$B$2:$B$5),"")</f>
        <v>2024-12-25</v>
      </c>
      <c r="T68" s="16" t="str">
        <f>IFERROR(_xlfn.XLOOKUP(O68,'Campaign Metadata'!$A$2:$A$5,'Campaign Metadata'!$C$2:$C$5),"")</f>
        <v>2025-01-10</v>
      </c>
      <c r="U68" s="27" t="str">
        <f t="shared" si="5"/>
        <v>During</v>
      </c>
      <c r="V68" s="7">
        <f t="shared" si="6"/>
        <v>1208</v>
      </c>
    </row>
    <row r="69" spans="1:22" ht="16.5" customHeight="1" x14ac:dyDescent="0.3">
      <c r="A69" s="32" t="s">
        <v>286</v>
      </c>
      <c r="B69" s="32" t="s">
        <v>2</v>
      </c>
      <c r="C69" s="5" t="s">
        <v>118</v>
      </c>
      <c r="D69" s="32" t="s">
        <v>26</v>
      </c>
      <c r="E69" s="32" t="s">
        <v>273</v>
      </c>
      <c r="F69" s="6">
        <v>3024</v>
      </c>
      <c r="G69" s="6">
        <v>925</v>
      </c>
      <c r="H69" s="6">
        <v>350</v>
      </c>
      <c r="I69" s="6">
        <v>24192</v>
      </c>
      <c r="J69" s="6">
        <v>23518</v>
      </c>
      <c r="K69" s="6">
        <v>36</v>
      </c>
      <c r="L69" s="32" t="s">
        <v>36</v>
      </c>
      <c r="O69" s="32" t="s">
        <v>69</v>
      </c>
      <c r="P69" s="24">
        <f t="shared" si="4"/>
        <v>0.17770337301587302</v>
      </c>
      <c r="S69" s="16" t="str">
        <f>IFERROR(_xlfn.XLOOKUP(O69,'Campaign Metadata'!$A$2:$A$5,'Campaign Metadata'!$B$2:$B$5),"")</f>
        <v>2024-10-01</v>
      </c>
      <c r="T69" s="16" t="str">
        <f>IFERROR(_xlfn.XLOOKUP(O69,'Campaign Metadata'!$A$2:$A$5,'Campaign Metadata'!$C$2:$C$5),"")</f>
        <v>2024-10-31</v>
      </c>
      <c r="U69" s="27" t="str">
        <f t="shared" si="5"/>
        <v>Before</v>
      </c>
      <c r="V69" s="7">
        <f t="shared" si="6"/>
        <v>4299</v>
      </c>
    </row>
    <row r="70" spans="1:22" ht="16.5" customHeight="1" x14ac:dyDescent="0.3">
      <c r="A70" s="32" t="s">
        <v>287</v>
      </c>
      <c r="B70" s="32" t="s">
        <v>2</v>
      </c>
      <c r="C70" s="5" t="s">
        <v>288</v>
      </c>
      <c r="D70" s="32" t="s">
        <v>29</v>
      </c>
      <c r="E70" s="32" t="s">
        <v>204</v>
      </c>
      <c r="F70" s="6">
        <v>4321</v>
      </c>
      <c r="G70" s="6">
        <v>874</v>
      </c>
      <c r="H70" s="6">
        <v>172</v>
      </c>
      <c r="I70" s="6">
        <v>30247</v>
      </c>
      <c r="J70" s="6">
        <v>29254</v>
      </c>
      <c r="K70" s="6">
        <v>122</v>
      </c>
      <c r="L70" s="32" t="s">
        <v>39</v>
      </c>
      <c r="O70" s="32" t="s">
        <v>70</v>
      </c>
      <c r="P70" s="24">
        <f t="shared" si="4"/>
        <v>0.17743908486792079</v>
      </c>
      <c r="S70" s="16" t="str">
        <f>IFERROR(_xlfn.XLOOKUP(O70,'Campaign Metadata'!$A$2:$A$5,'Campaign Metadata'!$B$2:$B$5),"")</f>
        <v>2025-03-01</v>
      </c>
      <c r="T70" s="16" t="str">
        <f>IFERROR(_xlfn.XLOOKUP(O70,'Campaign Metadata'!$A$2:$A$5,'Campaign Metadata'!$C$2:$C$5),"")</f>
        <v>2025-03-31</v>
      </c>
      <c r="U70" s="27" t="str">
        <f t="shared" si="5"/>
        <v>Before</v>
      </c>
      <c r="V70" s="7">
        <f t="shared" si="6"/>
        <v>5367</v>
      </c>
    </row>
    <row r="71" spans="1:22" ht="16.5" customHeight="1" x14ac:dyDescent="0.3">
      <c r="A71" s="32" t="s">
        <v>289</v>
      </c>
      <c r="B71" s="32" t="s">
        <v>4</v>
      </c>
      <c r="C71" s="5" t="s">
        <v>290</v>
      </c>
      <c r="D71" s="32" t="s">
        <v>29</v>
      </c>
      <c r="E71" s="32" t="s">
        <v>151</v>
      </c>
      <c r="F71" s="6">
        <v>1957</v>
      </c>
      <c r="G71" s="6">
        <v>877</v>
      </c>
      <c r="H71" s="6">
        <v>238</v>
      </c>
      <c r="I71" s="6">
        <v>17613</v>
      </c>
      <c r="J71" s="6">
        <v>16865</v>
      </c>
      <c r="K71" s="6">
        <v>297</v>
      </c>
      <c r="L71" s="32" t="s">
        <v>37</v>
      </c>
      <c r="O71" s="32" t="s">
        <v>68</v>
      </c>
      <c r="P71" s="24">
        <f t="shared" si="4"/>
        <v>0.17441662408448305</v>
      </c>
      <c r="S71" s="16" t="str">
        <f>IFERROR(_xlfn.XLOOKUP(O71,'Campaign Metadata'!$A$2:$A$5,'Campaign Metadata'!$B$2:$B$5),"")</f>
        <v>2024-12-25</v>
      </c>
      <c r="T71" s="16" t="str">
        <f>IFERROR(_xlfn.XLOOKUP(O71,'Campaign Metadata'!$A$2:$A$5,'Campaign Metadata'!$C$2:$C$5),"")</f>
        <v>2025-01-10</v>
      </c>
      <c r="U71" s="27" t="str">
        <f t="shared" si="5"/>
        <v>Before</v>
      </c>
      <c r="V71" s="7">
        <f t="shared" si="6"/>
        <v>3072</v>
      </c>
    </row>
    <row r="72" spans="1:22" ht="16.5" customHeight="1" x14ac:dyDescent="0.3">
      <c r="A72" s="32" t="s">
        <v>291</v>
      </c>
      <c r="B72" s="32" t="s">
        <v>4</v>
      </c>
      <c r="C72" s="5" t="s">
        <v>292</v>
      </c>
      <c r="D72" s="32" t="s">
        <v>30</v>
      </c>
      <c r="E72" s="32" t="s">
        <v>221</v>
      </c>
      <c r="F72" s="6">
        <v>2147</v>
      </c>
      <c r="G72" s="6">
        <v>430</v>
      </c>
      <c r="H72" s="6">
        <v>393</v>
      </c>
      <c r="I72" s="6">
        <v>17176</v>
      </c>
      <c r="J72" s="6">
        <v>16483</v>
      </c>
      <c r="K72" s="6">
        <v>170</v>
      </c>
      <c r="L72" s="32" t="s">
        <v>39</v>
      </c>
      <c r="P72" s="24">
        <f t="shared" si="4"/>
        <v>0.17291569632044715</v>
      </c>
      <c r="S72" s="16" t="str">
        <f>IFERROR(_xlfn.XLOOKUP(O72,'Campaign Metadata'!$A$2:$A$5,'Campaign Metadata'!$B$2:$B$5),"")</f>
        <v/>
      </c>
      <c r="T72" s="16" t="str">
        <f>IFERROR(_xlfn.XLOOKUP(O72,'Campaign Metadata'!$A$2:$A$5,'Campaign Metadata'!$C$2:$C$5),"")</f>
        <v/>
      </c>
      <c r="U72" s="27" t="str">
        <f t="shared" si="5"/>
        <v>No Campaign</v>
      </c>
      <c r="V72" s="7">
        <f t="shared" si="6"/>
        <v>2970</v>
      </c>
    </row>
    <row r="73" spans="1:22" ht="16.5" customHeight="1" x14ac:dyDescent="0.3">
      <c r="A73" s="32" t="s">
        <v>293</v>
      </c>
      <c r="B73" s="32" t="s">
        <v>3</v>
      </c>
      <c r="C73" s="5" t="s">
        <v>253</v>
      </c>
      <c r="D73" s="32" t="s">
        <v>31</v>
      </c>
      <c r="E73" s="32" t="s">
        <v>154</v>
      </c>
      <c r="F73" s="6">
        <v>432</v>
      </c>
      <c r="G73" s="6">
        <v>624</v>
      </c>
      <c r="H73" s="6">
        <v>123</v>
      </c>
      <c r="I73" s="6">
        <v>6912</v>
      </c>
      <c r="J73" s="6">
        <v>6259</v>
      </c>
      <c r="K73" s="6">
        <v>79</v>
      </c>
      <c r="L73" s="32" t="s">
        <v>37</v>
      </c>
      <c r="O73" s="32" t="s">
        <v>70</v>
      </c>
      <c r="P73" s="24">
        <f t="shared" si="4"/>
        <v>0.17057291666666666</v>
      </c>
      <c r="S73" s="16" t="str">
        <f>IFERROR(_xlfn.XLOOKUP(O73,'Campaign Metadata'!$A$2:$A$5,'Campaign Metadata'!$B$2:$B$5),"")</f>
        <v>2025-03-01</v>
      </c>
      <c r="T73" s="16" t="str">
        <f>IFERROR(_xlfn.XLOOKUP(O73,'Campaign Metadata'!$A$2:$A$5,'Campaign Metadata'!$C$2:$C$5),"")</f>
        <v>2025-03-31</v>
      </c>
      <c r="U73" s="27" t="str">
        <f t="shared" si="5"/>
        <v>During</v>
      </c>
      <c r="V73" s="7">
        <f t="shared" si="6"/>
        <v>1179</v>
      </c>
    </row>
    <row r="74" spans="1:22" ht="16.5" customHeight="1" x14ac:dyDescent="0.3">
      <c r="A74" s="32" t="s">
        <v>294</v>
      </c>
      <c r="B74" s="32" t="s">
        <v>4</v>
      </c>
      <c r="C74" s="5" t="s">
        <v>295</v>
      </c>
      <c r="D74" s="32" t="s">
        <v>31</v>
      </c>
      <c r="E74" s="32" t="s">
        <v>249</v>
      </c>
      <c r="F74" s="6">
        <v>1108</v>
      </c>
      <c r="G74" s="6">
        <v>177</v>
      </c>
      <c r="H74" s="6">
        <v>212</v>
      </c>
      <c r="I74" s="6">
        <v>8864</v>
      </c>
      <c r="J74" s="6">
        <v>8710</v>
      </c>
      <c r="K74" s="6">
        <v>97</v>
      </c>
      <c r="L74" s="32" t="s">
        <v>39</v>
      </c>
      <c r="O74" s="32" t="s">
        <v>70</v>
      </c>
      <c r="P74" s="24">
        <f t="shared" si="4"/>
        <v>0.16888537906137185</v>
      </c>
      <c r="S74" s="16" t="str">
        <f>IFERROR(_xlfn.XLOOKUP(O74,'Campaign Metadata'!$A$2:$A$5,'Campaign Metadata'!$B$2:$B$5),"")</f>
        <v>2025-03-01</v>
      </c>
      <c r="T74" s="16" t="str">
        <f>IFERROR(_xlfn.XLOOKUP(O74,'Campaign Metadata'!$A$2:$A$5,'Campaign Metadata'!$C$2:$C$5),"")</f>
        <v>2025-03-31</v>
      </c>
      <c r="U74" s="27" t="str">
        <f t="shared" si="5"/>
        <v>Before</v>
      </c>
      <c r="V74" s="7">
        <f t="shared" si="6"/>
        <v>1497</v>
      </c>
    </row>
    <row r="75" spans="1:22" ht="16.5" customHeight="1" x14ac:dyDescent="0.3">
      <c r="A75" s="32" t="s">
        <v>296</v>
      </c>
      <c r="B75" s="32" t="s">
        <v>4</v>
      </c>
      <c r="C75" s="5" t="s">
        <v>297</v>
      </c>
      <c r="D75" s="32" t="s">
        <v>27</v>
      </c>
      <c r="E75" s="32" t="s">
        <v>162</v>
      </c>
      <c r="F75" s="6">
        <v>2214</v>
      </c>
      <c r="G75" s="6">
        <v>249</v>
      </c>
      <c r="H75" s="6">
        <v>152</v>
      </c>
      <c r="I75" s="6">
        <v>15498</v>
      </c>
      <c r="J75" s="6">
        <v>14800</v>
      </c>
      <c r="K75" s="6">
        <v>180</v>
      </c>
      <c r="L75" s="32" t="s">
        <v>36</v>
      </c>
      <c r="P75" s="24">
        <f t="shared" si="4"/>
        <v>0.16873144921925409</v>
      </c>
      <c r="S75" s="16" t="str">
        <f>IFERROR(_xlfn.XLOOKUP(O75,'Campaign Metadata'!$A$2:$A$5,'Campaign Metadata'!$B$2:$B$5),"")</f>
        <v/>
      </c>
      <c r="T75" s="16" t="str">
        <f>IFERROR(_xlfn.XLOOKUP(O75,'Campaign Metadata'!$A$2:$A$5,'Campaign Metadata'!$C$2:$C$5),"")</f>
        <v/>
      </c>
      <c r="U75" s="27" t="str">
        <f t="shared" si="5"/>
        <v>No Campaign</v>
      </c>
      <c r="V75" s="7">
        <f t="shared" si="6"/>
        <v>2615</v>
      </c>
    </row>
    <row r="76" spans="1:22" ht="16.5" customHeight="1" x14ac:dyDescent="0.3">
      <c r="A76" s="32" t="s">
        <v>298</v>
      </c>
      <c r="B76" s="32" t="s">
        <v>3</v>
      </c>
      <c r="C76" s="5" t="s">
        <v>153</v>
      </c>
      <c r="D76" s="32" t="s">
        <v>27</v>
      </c>
      <c r="E76" s="32" t="s">
        <v>173</v>
      </c>
      <c r="F76" s="6">
        <v>2647</v>
      </c>
      <c r="G76" s="6">
        <v>304</v>
      </c>
      <c r="H76" s="6">
        <v>170</v>
      </c>
      <c r="I76" s="6">
        <v>18529</v>
      </c>
      <c r="J76" s="6">
        <v>17841</v>
      </c>
      <c r="K76" s="6">
        <v>46</v>
      </c>
      <c r="L76" s="32" t="s">
        <v>37</v>
      </c>
      <c r="O76" s="32" t="s">
        <v>68</v>
      </c>
      <c r="P76" s="24">
        <f t="shared" si="4"/>
        <v>0.16843866371633656</v>
      </c>
      <c r="S76" s="16" t="str">
        <f>IFERROR(_xlfn.XLOOKUP(O76,'Campaign Metadata'!$A$2:$A$5,'Campaign Metadata'!$B$2:$B$5),"")</f>
        <v>2024-12-25</v>
      </c>
      <c r="T76" s="16" t="str">
        <f>IFERROR(_xlfn.XLOOKUP(O76,'Campaign Metadata'!$A$2:$A$5,'Campaign Metadata'!$C$2:$C$5),"")</f>
        <v>2025-01-10</v>
      </c>
      <c r="U76" s="27" t="str">
        <f t="shared" si="5"/>
        <v>Before</v>
      </c>
      <c r="V76" s="7">
        <f t="shared" si="6"/>
        <v>3121</v>
      </c>
    </row>
    <row r="77" spans="1:22" ht="16.5" customHeight="1" x14ac:dyDescent="0.3">
      <c r="A77" s="32" t="s">
        <v>299</v>
      </c>
      <c r="B77" s="32" t="s">
        <v>5</v>
      </c>
      <c r="C77" s="5" t="s">
        <v>300</v>
      </c>
      <c r="D77" s="32" t="s">
        <v>28</v>
      </c>
      <c r="E77" s="32" t="s">
        <v>237</v>
      </c>
      <c r="F77" s="6">
        <v>3704</v>
      </c>
      <c r="G77" s="6">
        <v>186</v>
      </c>
      <c r="H77" s="6">
        <v>458</v>
      </c>
      <c r="I77" s="6">
        <v>25928</v>
      </c>
      <c r="J77" s="6">
        <v>25081</v>
      </c>
      <c r="K77" s="6">
        <v>131</v>
      </c>
      <c r="L77" s="32" t="s">
        <v>39</v>
      </c>
      <c r="P77" s="24">
        <f t="shared" si="4"/>
        <v>0.16769515581610614</v>
      </c>
      <c r="S77" s="16" t="str">
        <f>IFERROR(_xlfn.XLOOKUP(O77,'Campaign Metadata'!$A$2:$A$5,'Campaign Metadata'!$B$2:$B$5),"")</f>
        <v/>
      </c>
      <c r="T77" s="16" t="str">
        <f>IFERROR(_xlfn.XLOOKUP(O77,'Campaign Metadata'!$A$2:$A$5,'Campaign Metadata'!$C$2:$C$5),"")</f>
        <v/>
      </c>
      <c r="U77" s="27" t="str">
        <f t="shared" si="5"/>
        <v>No Campaign</v>
      </c>
      <c r="V77" s="7">
        <f t="shared" si="6"/>
        <v>4348</v>
      </c>
    </row>
    <row r="78" spans="1:22" ht="16.5" customHeight="1" x14ac:dyDescent="0.3">
      <c r="A78" s="32" t="s">
        <v>301</v>
      </c>
      <c r="B78" s="32" t="s">
        <v>2</v>
      </c>
      <c r="C78" s="5" t="s">
        <v>95</v>
      </c>
      <c r="D78" s="32" t="s">
        <v>28</v>
      </c>
      <c r="E78" s="32" t="s">
        <v>278</v>
      </c>
      <c r="F78" s="6">
        <v>1741</v>
      </c>
      <c r="G78" s="6">
        <v>831</v>
      </c>
      <c r="H78" s="6">
        <v>345</v>
      </c>
      <c r="I78" s="6">
        <v>17410</v>
      </c>
      <c r="J78" s="6">
        <v>16844</v>
      </c>
      <c r="K78" s="6">
        <v>58</v>
      </c>
      <c r="L78" s="32" t="s">
        <v>36</v>
      </c>
      <c r="O78" s="32" t="s">
        <v>68</v>
      </c>
      <c r="P78" s="24">
        <f t="shared" si="4"/>
        <v>0.16754738655944859</v>
      </c>
      <c r="S78" s="16" t="str">
        <f>IFERROR(_xlfn.XLOOKUP(O78,'Campaign Metadata'!$A$2:$A$5,'Campaign Metadata'!$B$2:$B$5),"")</f>
        <v>2024-12-25</v>
      </c>
      <c r="T78" s="16" t="str">
        <f>IFERROR(_xlfn.XLOOKUP(O78,'Campaign Metadata'!$A$2:$A$5,'Campaign Metadata'!$C$2:$C$5),"")</f>
        <v>2025-01-10</v>
      </c>
      <c r="U78" s="27" t="str">
        <f t="shared" si="5"/>
        <v>Before</v>
      </c>
      <c r="V78" s="7">
        <f t="shared" si="6"/>
        <v>2917</v>
      </c>
    </row>
    <row r="79" spans="1:22" ht="16.5" customHeight="1" x14ac:dyDescent="0.3">
      <c r="A79" s="32" t="s">
        <v>302</v>
      </c>
      <c r="B79" s="32" t="s">
        <v>4</v>
      </c>
      <c r="C79" s="5" t="s">
        <v>303</v>
      </c>
      <c r="D79" s="32" t="s">
        <v>29</v>
      </c>
      <c r="E79" s="32" t="s">
        <v>151</v>
      </c>
      <c r="F79" s="6">
        <v>3649</v>
      </c>
      <c r="G79" s="6">
        <v>215</v>
      </c>
      <c r="H79" s="6">
        <v>413</v>
      </c>
      <c r="I79" s="6">
        <v>25543</v>
      </c>
      <c r="J79" s="6">
        <v>24963</v>
      </c>
      <c r="K79" s="6">
        <v>167</v>
      </c>
      <c r="L79" s="32" t="s">
        <v>37</v>
      </c>
      <c r="O79" s="32" t="s">
        <v>68</v>
      </c>
      <c r="P79" s="24">
        <f t="shared" si="4"/>
        <v>0.16744313510550835</v>
      </c>
      <c r="S79" s="16" t="str">
        <f>IFERROR(_xlfn.XLOOKUP(O79,'Campaign Metadata'!$A$2:$A$5,'Campaign Metadata'!$B$2:$B$5),"")</f>
        <v>2024-12-25</v>
      </c>
      <c r="T79" s="16" t="str">
        <f>IFERROR(_xlfn.XLOOKUP(O79,'Campaign Metadata'!$A$2:$A$5,'Campaign Metadata'!$C$2:$C$5),"")</f>
        <v>2025-01-10</v>
      </c>
      <c r="U79" s="27" t="str">
        <f t="shared" si="5"/>
        <v>Before</v>
      </c>
      <c r="V79" s="7">
        <f t="shared" si="6"/>
        <v>4277</v>
      </c>
    </row>
    <row r="80" spans="1:22" ht="16.5" customHeight="1" x14ac:dyDescent="0.3">
      <c r="A80" s="32" t="s">
        <v>304</v>
      </c>
      <c r="B80" s="32" t="s">
        <v>4</v>
      </c>
      <c r="C80" s="5" t="s">
        <v>125</v>
      </c>
      <c r="D80" s="32" t="s">
        <v>26</v>
      </c>
      <c r="E80" s="32" t="s">
        <v>159</v>
      </c>
      <c r="F80" s="6">
        <v>2704</v>
      </c>
      <c r="G80" s="6">
        <v>752</v>
      </c>
      <c r="H80" s="6">
        <v>153</v>
      </c>
      <c r="I80" s="6">
        <v>21632</v>
      </c>
      <c r="J80" s="6">
        <v>20792</v>
      </c>
      <c r="K80" s="6">
        <v>127</v>
      </c>
      <c r="L80" s="32" t="s">
        <v>37</v>
      </c>
      <c r="P80" s="24">
        <f t="shared" si="4"/>
        <v>0.16683616863905326</v>
      </c>
      <c r="S80" s="16" t="str">
        <f>IFERROR(_xlfn.XLOOKUP(O80,'Campaign Metadata'!$A$2:$A$5,'Campaign Metadata'!$B$2:$B$5),"")</f>
        <v/>
      </c>
      <c r="T80" s="16" t="str">
        <f>IFERROR(_xlfn.XLOOKUP(O80,'Campaign Metadata'!$A$2:$A$5,'Campaign Metadata'!$C$2:$C$5),"")</f>
        <v/>
      </c>
      <c r="U80" s="27" t="str">
        <f t="shared" si="5"/>
        <v>No Campaign</v>
      </c>
      <c r="V80" s="7">
        <f t="shared" si="6"/>
        <v>3609</v>
      </c>
    </row>
    <row r="81" spans="1:22" ht="16.5" customHeight="1" x14ac:dyDescent="0.3">
      <c r="A81" s="32" t="s">
        <v>305</v>
      </c>
      <c r="B81" s="32" t="s">
        <v>4</v>
      </c>
      <c r="C81" s="5" t="s">
        <v>306</v>
      </c>
      <c r="D81" s="32" t="s">
        <v>27</v>
      </c>
      <c r="E81" s="32" t="s">
        <v>162</v>
      </c>
      <c r="F81" s="6">
        <v>1952</v>
      </c>
      <c r="G81" s="6">
        <v>344</v>
      </c>
      <c r="H81" s="6">
        <v>287</v>
      </c>
      <c r="I81" s="6">
        <v>15616</v>
      </c>
      <c r="J81" s="6">
        <v>15403</v>
      </c>
      <c r="K81" s="6">
        <v>235</v>
      </c>
      <c r="L81" s="32" t="s">
        <v>37</v>
      </c>
      <c r="M81" s="27" t="s">
        <v>39</v>
      </c>
      <c r="N81" s="27" t="s">
        <v>34</v>
      </c>
      <c r="O81" s="32" t="s">
        <v>69</v>
      </c>
      <c r="P81" s="24">
        <f t="shared" si="4"/>
        <v>0.16540727459016394</v>
      </c>
      <c r="S81" s="16" t="str">
        <f>IFERROR(_xlfn.XLOOKUP(O81,'Campaign Metadata'!$A$2:$A$5,'Campaign Metadata'!$B$2:$B$5),"")</f>
        <v>2024-10-01</v>
      </c>
      <c r="T81" s="16" t="str">
        <f>IFERROR(_xlfn.XLOOKUP(O81,'Campaign Metadata'!$A$2:$A$5,'Campaign Metadata'!$C$2:$C$5),"")</f>
        <v>2024-10-31</v>
      </c>
      <c r="U81" s="27" t="str">
        <f t="shared" si="5"/>
        <v>Before</v>
      </c>
      <c r="V81" s="7">
        <f t="shared" si="6"/>
        <v>2583</v>
      </c>
    </row>
    <row r="82" spans="1:22" ht="16.5" customHeight="1" x14ac:dyDescent="0.3">
      <c r="A82" s="32" t="s">
        <v>307</v>
      </c>
      <c r="B82" s="32" t="s">
        <v>5</v>
      </c>
      <c r="C82" s="5" t="s">
        <v>308</v>
      </c>
      <c r="D82" s="32" t="s">
        <v>26</v>
      </c>
      <c r="E82" s="32" t="s">
        <v>165</v>
      </c>
      <c r="F82" s="6">
        <v>1686</v>
      </c>
      <c r="G82" s="6">
        <v>904</v>
      </c>
      <c r="H82" s="6">
        <v>472</v>
      </c>
      <c r="I82" s="6">
        <v>18546</v>
      </c>
      <c r="J82" s="6">
        <v>18171</v>
      </c>
      <c r="K82" s="6">
        <v>52</v>
      </c>
      <c r="L82" s="32" t="s">
        <v>37</v>
      </c>
      <c r="O82" s="32" t="s">
        <v>69</v>
      </c>
      <c r="P82" s="24">
        <f t="shared" si="4"/>
        <v>0.16510298716704411</v>
      </c>
      <c r="S82" s="16" t="str">
        <f>IFERROR(_xlfn.XLOOKUP(O82,'Campaign Metadata'!$A$2:$A$5,'Campaign Metadata'!$B$2:$B$5),"")</f>
        <v>2024-10-01</v>
      </c>
      <c r="T82" s="16" t="str">
        <f>IFERROR(_xlfn.XLOOKUP(O82,'Campaign Metadata'!$A$2:$A$5,'Campaign Metadata'!$C$2:$C$5),"")</f>
        <v>2024-10-31</v>
      </c>
      <c r="U82" s="27" t="str">
        <f t="shared" si="5"/>
        <v>Before</v>
      </c>
      <c r="V82" s="7">
        <f t="shared" si="6"/>
        <v>3062</v>
      </c>
    </row>
    <row r="83" spans="1:22" ht="16.5" customHeight="1" x14ac:dyDescent="0.3">
      <c r="A83" s="32" t="s">
        <v>309</v>
      </c>
      <c r="B83" s="32" t="s">
        <v>3</v>
      </c>
      <c r="C83" s="5" t="s">
        <v>211</v>
      </c>
      <c r="D83" s="32" t="s">
        <v>31</v>
      </c>
      <c r="E83" s="32" t="s">
        <v>154</v>
      </c>
      <c r="F83" s="6">
        <v>904</v>
      </c>
      <c r="G83" s="6">
        <v>973</v>
      </c>
      <c r="H83" s="6">
        <v>63</v>
      </c>
      <c r="I83" s="6">
        <v>11752</v>
      </c>
      <c r="J83" s="6">
        <v>11580</v>
      </c>
      <c r="K83" s="6">
        <v>84</v>
      </c>
      <c r="L83" s="32" t="s">
        <v>36</v>
      </c>
      <c r="M83" s="27" t="s">
        <v>39</v>
      </c>
      <c r="N83" s="27" t="s">
        <v>34</v>
      </c>
      <c r="O83" s="32" t="s">
        <v>68</v>
      </c>
      <c r="P83" s="24">
        <f t="shared" si="4"/>
        <v>0.1650782845473111</v>
      </c>
      <c r="S83" s="16" t="str">
        <f>IFERROR(_xlfn.XLOOKUP(O83,'Campaign Metadata'!$A$2:$A$5,'Campaign Metadata'!$B$2:$B$5),"")</f>
        <v>2024-12-25</v>
      </c>
      <c r="T83" s="16" t="str">
        <f>IFERROR(_xlfn.XLOOKUP(O83,'Campaign Metadata'!$A$2:$A$5,'Campaign Metadata'!$C$2:$C$5),"")</f>
        <v>2025-01-10</v>
      </c>
      <c r="U83" s="27" t="str">
        <f t="shared" si="5"/>
        <v>Before</v>
      </c>
      <c r="V83" s="7">
        <f t="shared" si="6"/>
        <v>1940</v>
      </c>
    </row>
    <row r="84" spans="1:22" ht="16.5" customHeight="1" x14ac:dyDescent="0.3">
      <c r="A84" s="32" t="s">
        <v>310</v>
      </c>
      <c r="B84" s="32" t="s">
        <v>5</v>
      </c>
      <c r="C84" s="5" t="s">
        <v>311</v>
      </c>
      <c r="D84" s="32" t="s">
        <v>31</v>
      </c>
      <c r="E84" s="32" t="s">
        <v>207</v>
      </c>
      <c r="F84" s="6">
        <v>1094</v>
      </c>
      <c r="G84" s="6">
        <v>472</v>
      </c>
      <c r="H84" s="6">
        <v>21</v>
      </c>
      <c r="I84" s="6">
        <v>9846</v>
      </c>
      <c r="J84" s="6">
        <v>9609</v>
      </c>
      <c r="K84" s="6">
        <v>112</v>
      </c>
      <c r="L84" s="32" t="s">
        <v>36</v>
      </c>
      <c r="P84" s="24">
        <f t="shared" si="4"/>
        <v>0.16118220597196831</v>
      </c>
      <c r="S84" s="16" t="str">
        <f>IFERROR(_xlfn.XLOOKUP(O84,'Campaign Metadata'!$A$2:$A$5,'Campaign Metadata'!$B$2:$B$5),"")</f>
        <v/>
      </c>
      <c r="T84" s="16" t="str">
        <f>IFERROR(_xlfn.XLOOKUP(O84,'Campaign Metadata'!$A$2:$A$5,'Campaign Metadata'!$C$2:$C$5),"")</f>
        <v/>
      </c>
      <c r="U84" s="27" t="str">
        <f t="shared" si="5"/>
        <v>No Campaign</v>
      </c>
      <c r="V84" s="7">
        <f t="shared" si="6"/>
        <v>1587</v>
      </c>
    </row>
    <row r="85" spans="1:22" ht="16.5" customHeight="1" x14ac:dyDescent="0.3">
      <c r="A85" s="32" t="s">
        <v>312</v>
      </c>
      <c r="B85" s="32" t="s">
        <v>4</v>
      </c>
      <c r="C85" s="5" t="s">
        <v>313</v>
      </c>
      <c r="D85" s="32" t="s">
        <v>27</v>
      </c>
      <c r="E85" s="32" t="s">
        <v>162</v>
      </c>
      <c r="F85" s="6">
        <v>305</v>
      </c>
      <c r="G85" s="6">
        <v>187</v>
      </c>
      <c r="H85" s="6">
        <v>243</v>
      </c>
      <c r="I85" s="6">
        <v>4575</v>
      </c>
      <c r="J85" s="6">
        <v>3704</v>
      </c>
      <c r="K85" s="6">
        <v>234</v>
      </c>
      <c r="L85" s="32" t="s">
        <v>37</v>
      </c>
      <c r="O85" s="32" t="s">
        <v>68</v>
      </c>
      <c r="P85" s="24">
        <f t="shared" si="4"/>
        <v>0.16065573770491803</v>
      </c>
      <c r="S85" s="16" t="str">
        <f>IFERROR(_xlfn.XLOOKUP(O85,'Campaign Metadata'!$A$2:$A$5,'Campaign Metadata'!$B$2:$B$5),"")</f>
        <v>2024-12-25</v>
      </c>
      <c r="T85" s="16" t="str">
        <f>IFERROR(_xlfn.XLOOKUP(O85,'Campaign Metadata'!$A$2:$A$5,'Campaign Metadata'!$C$2:$C$5),"")</f>
        <v>2025-01-10</v>
      </c>
      <c r="U85" s="27" t="str">
        <f t="shared" si="5"/>
        <v>Before</v>
      </c>
      <c r="V85" s="7">
        <f t="shared" si="6"/>
        <v>735</v>
      </c>
    </row>
    <row r="86" spans="1:22" ht="16.5" customHeight="1" x14ac:dyDescent="0.3">
      <c r="A86" s="32" t="s">
        <v>314</v>
      </c>
      <c r="B86" s="32" t="s">
        <v>2</v>
      </c>
      <c r="C86" s="5" t="s">
        <v>315</v>
      </c>
      <c r="D86" s="32" t="s">
        <v>31</v>
      </c>
      <c r="E86" s="32" t="s">
        <v>171</v>
      </c>
      <c r="F86" s="6">
        <v>4453</v>
      </c>
      <c r="G86" s="6">
        <v>111</v>
      </c>
      <c r="H86" s="6">
        <v>420</v>
      </c>
      <c r="I86" s="6">
        <v>31171</v>
      </c>
      <c r="J86" s="6">
        <v>30565</v>
      </c>
      <c r="K86" s="6">
        <v>23</v>
      </c>
      <c r="L86" s="32" t="s">
        <v>39</v>
      </c>
      <c r="P86" s="24">
        <f t="shared" si="4"/>
        <v>0.15989220750056141</v>
      </c>
      <c r="S86" s="16" t="str">
        <f>IFERROR(_xlfn.XLOOKUP(O86,'Campaign Metadata'!$A$2:$A$5,'Campaign Metadata'!$B$2:$B$5),"")</f>
        <v/>
      </c>
      <c r="T86" s="16" t="str">
        <f>IFERROR(_xlfn.XLOOKUP(O86,'Campaign Metadata'!$A$2:$A$5,'Campaign Metadata'!$C$2:$C$5),"")</f>
        <v/>
      </c>
      <c r="U86" s="27" t="str">
        <f t="shared" si="5"/>
        <v>No Campaign</v>
      </c>
      <c r="V86" s="7">
        <f t="shared" si="6"/>
        <v>4984</v>
      </c>
    </row>
    <row r="87" spans="1:22" ht="16.5" customHeight="1" x14ac:dyDescent="0.3">
      <c r="A87" s="32" t="s">
        <v>316</v>
      </c>
      <c r="B87" s="32" t="s">
        <v>2</v>
      </c>
      <c r="C87" s="5" t="s">
        <v>134</v>
      </c>
      <c r="D87" s="32" t="s">
        <v>26</v>
      </c>
      <c r="E87" s="32" t="s">
        <v>273</v>
      </c>
      <c r="F87" s="6">
        <v>2089</v>
      </c>
      <c r="G87" s="6">
        <v>476</v>
      </c>
      <c r="H87" s="6">
        <v>69</v>
      </c>
      <c r="I87" s="6">
        <v>16712</v>
      </c>
      <c r="J87" s="6">
        <v>16309</v>
      </c>
      <c r="K87" s="6">
        <v>64</v>
      </c>
      <c r="L87" s="32" t="s">
        <v>37</v>
      </c>
      <c r="O87" s="32" t="s">
        <v>68</v>
      </c>
      <c r="P87" s="24">
        <f t="shared" si="4"/>
        <v>0.15761129727142173</v>
      </c>
      <c r="S87" s="16" t="str">
        <f>IFERROR(_xlfn.XLOOKUP(O87,'Campaign Metadata'!$A$2:$A$5,'Campaign Metadata'!$B$2:$B$5),"")</f>
        <v>2024-12-25</v>
      </c>
      <c r="T87" s="16" t="str">
        <f>IFERROR(_xlfn.XLOOKUP(O87,'Campaign Metadata'!$A$2:$A$5,'Campaign Metadata'!$C$2:$C$5),"")</f>
        <v>2025-01-10</v>
      </c>
      <c r="U87" s="27" t="str">
        <f t="shared" si="5"/>
        <v>Before</v>
      </c>
      <c r="V87" s="7">
        <f t="shared" si="6"/>
        <v>2634</v>
      </c>
    </row>
    <row r="88" spans="1:22" ht="16.5" customHeight="1" x14ac:dyDescent="0.3">
      <c r="A88" s="32" t="s">
        <v>317</v>
      </c>
      <c r="B88" s="32" t="s">
        <v>2</v>
      </c>
      <c r="C88" s="5" t="s">
        <v>318</v>
      </c>
      <c r="D88" s="32" t="s">
        <v>27</v>
      </c>
      <c r="E88" s="32" t="s">
        <v>183</v>
      </c>
      <c r="F88" s="6">
        <v>947</v>
      </c>
      <c r="G88" s="6">
        <v>338</v>
      </c>
      <c r="H88" s="6">
        <v>350</v>
      </c>
      <c r="I88" s="6">
        <v>10417</v>
      </c>
      <c r="J88" s="6">
        <v>9730</v>
      </c>
      <c r="K88" s="6">
        <v>34</v>
      </c>
      <c r="L88" s="32" t="s">
        <v>39</v>
      </c>
      <c r="O88" s="32" t="s">
        <v>70</v>
      </c>
      <c r="P88" s="24">
        <f t="shared" si="4"/>
        <v>0.1569549774407219</v>
      </c>
      <c r="S88" s="16" t="str">
        <f>IFERROR(_xlfn.XLOOKUP(O88,'Campaign Metadata'!$A$2:$A$5,'Campaign Metadata'!$B$2:$B$5),"")</f>
        <v>2025-03-01</v>
      </c>
      <c r="T88" s="16" t="str">
        <f>IFERROR(_xlfn.XLOOKUP(O88,'Campaign Metadata'!$A$2:$A$5,'Campaign Metadata'!$C$2:$C$5),"")</f>
        <v>2025-03-31</v>
      </c>
      <c r="U88" s="27" t="str">
        <f t="shared" si="5"/>
        <v>Before</v>
      </c>
      <c r="V88" s="7">
        <f t="shared" si="6"/>
        <v>1635</v>
      </c>
    </row>
    <row r="89" spans="1:22" ht="16.5" customHeight="1" x14ac:dyDescent="0.3">
      <c r="A89" s="32" t="s">
        <v>319</v>
      </c>
      <c r="B89" s="32" t="s">
        <v>2</v>
      </c>
      <c r="C89" s="5" t="s">
        <v>92</v>
      </c>
      <c r="D89" s="32" t="s">
        <v>27</v>
      </c>
      <c r="E89" s="32" t="s">
        <v>183</v>
      </c>
      <c r="F89" s="6">
        <v>2291</v>
      </c>
      <c r="G89" s="6">
        <v>78</v>
      </c>
      <c r="H89" s="6">
        <v>485</v>
      </c>
      <c r="I89" s="6">
        <v>18328</v>
      </c>
      <c r="J89" s="6">
        <v>18101</v>
      </c>
      <c r="K89" s="6">
        <v>10</v>
      </c>
      <c r="L89" s="32" t="s">
        <v>36</v>
      </c>
      <c r="M89" s="27" t="s">
        <v>38</v>
      </c>
      <c r="O89" s="32" t="s">
        <v>69</v>
      </c>
      <c r="P89" s="24">
        <f t="shared" si="4"/>
        <v>0.15571802706241816</v>
      </c>
      <c r="S89" s="16" t="str">
        <f>IFERROR(_xlfn.XLOOKUP(O89,'Campaign Metadata'!$A$2:$A$5,'Campaign Metadata'!$B$2:$B$5),"")</f>
        <v>2024-10-01</v>
      </c>
      <c r="T89" s="16" t="str">
        <f>IFERROR(_xlfn.XLOOKUP(O89,'Campaign Metadata'!$A$2:$A$5,'Campaign Metadata'!$C$2:$C$5),"")</f>
        <v>2024-10-31</v>
      </c>
      <c r="U89" s="27" t="str">
        <f t="shared" si="5"/>
        <v>Before</v>
      </c>
      <c r="V89" s="7">
        <f t="shared" si="6"/>
        <v>2854</v>
      </c>
    </row>
    <row r="90" spans="1:22" ht="16.5" customHeight="1" x14ac:dyDescent="0.3">
      <c r="A90" s="32" t="s">
        <v>320</v>
      </c>
      <c r="B90" s="32" t="s">
        <v>4</v>
      </c>
      <c r="C90" s="5" t="s">
        <v>199</v>
      </c>
      <c r="D90" s="32" t="s">
        <v>30</v>
      </c>
      <c r="E90" s="32" t="s">
        <v>221</v>
      </c>
      <c r="F90" s="6">
        <v>3239</v>
      </c>
      <c r="G90" s="6">
        <v>43</v>
      </c>
      <c r="H90" s="6">
        <v>211</v>
      </c>
      <c r="I90" s="6">
        <v>22673</v>
      </c>
      <c r="J90" s="6">
        <v>22171</v>
      </c>
      <c r="K90" s="6">
        <v>230</v>
      </c>
      <c r="L90" s="32" t="s">
        <v>39</v>
      </c>
      <c r="O90" s="32" t="s">
        <v>69</v>
      </c>
      <c r="P90" s="24">
        <f t="shared" si="4"/>
        <v>0.15405989502933004</v>
      </c>
      <c r="S90" s="16" t="str">
        <f>IFERROR(_xlfn.XLOOKUP(O90,'Campaign Metadata'!$A$2:$A$5,'Campaign Metadata'!$B$2:$B$5),"")</f>
        <v>2024-10-01</v>
      </c>
      <c r="T90" s="16" t="str">
        <f>IFERROR(_xlfn.XLOOKUP(O90,'Campaign Metadata'!$A$2:$A$5,'Campaign Metadata'!$C$2:$C$5),"")</f>
        <v>2024-10-31</v>
      </c>
      <c r="U90" s="27" t="str">
        <f t="shared" si="5"/>
        <v>Before</v>
      </c>
      <c r="V90" s="7">
        <f t="shared" si="6"/>
        <v>3493</v>
      </c>
    </row>
    <row r="91" spans="1:22" ht="16.5" customHeight="1" x14ac:dyDescent="0.3">
      <c r="A91" s="32" t="s">
        <v>321</v>
      </c>
      <c r="B91" s="32" t="s">
        <v>5</v>
      </c>
      <c r="C91" s="5" t="s">
        <v>322</v>
      </c>
      <c r="D91" s="32" t="s">
        <v>30</v>
      </c>
      <c r="E91" s="32" t="s">
        <v>217</v>
      </c>
      <c r="F91" s="6">
        <v>4934</v>
      </c>
      <c r="G91" s="6">
        <v>971</v>
      </c>
      <c r="H91" s="6">
        <v>156</v>
      </c>
      <c r="I91" s="6">
        <v>39472</v>
      </c>
      <c r="J91" s="6">
        <v>39025</v>
      </c>
      <c r="K91" s="6">
        <v>169</v>
      </c>
      <c r="L91" s="32" t="s">
        <v>39</v>
      </c>
      <c r="M91" s="27" t="s">
        <v>34</v>
      </c>
      <c r="O91" s="32" t="s">
        <v>70</v>
      </c>
      <c r="P91" s="24">
        <f t="shared" si="4"/>
        <v>0.15355188488042157</v>
      </c>
      <c r="S91" s="16" t="str">
        <f>IFERROR(_xlfn.XLOOKUP(O91,'Campaign Metadata'!$A$2:$A$5,'Campaign Metadata'!$B$2:$B$5),"")</f>
        <v>2025-03-01</v>
      </c>
      <c r="T91" s="16" t="str">
        <f>IFERROR(_xlfn.XLOOKUP(O91,'Campaign Metadata'!$A$2:$A$5,'Campaign Metadata'!$C$2:$C$5),"")</f>
        <v>2025-03-31</v>
      </c>
      <c r="U91" s="27" t="str">
        <f t="shared" si="5"/>
        <v>Before</v>
      </c>
      <c r="V91" s="7">
        <f t="shared" si="6"/>
        <v>6061</v>
      </c>
    </row>
    <row r="92" spans="1:22" ht="16.5" customHeight="1" x14ac:dyDescent="0.3">
      <c r="A92" s="32" t="s">
        <v>323</v>
      </c>
      <c r="B92" s="32" t="s">
        <v>5</v>
      </c>
      <c r="C92" s="5" t="s">
        <v>288</v>
      </c>
      <c r="D92" s="32" t="s">
        <v>27</v>
      </c>
      <c r="E92" s="32" t="s">
        <v>168</v>
      </c>
      <c r="F92" s="6">
        <v>1206</v>
      </c>
      <c r="G92" s="6">
        <v>238</v>
      </c>
      <c r="H92" s="6">
        <v>36</v>
      </c>
      <c r="I92" s="6">
        <v>9648</v>
      </c>
      <c r="J92" s="6">
        <v>9417</v>
      </c>
      <c r="K92" s="6">
        <v>237</v>
      </c>
      <c r="L92" s="32" t="s">
        <v>39</v>
      </c>
      <c r="P92" s="24">
        <f t="shared" si="4"/>
        <v>0.15339966832504145</v>
      </c>
      <c r="S92" s="16" t="str">
        <f>IFERROR(_xlfn.XLOOKUP(O92,'Campaign Metadata'!$A$2:$A$5,'Campaign Metadata'!$B$2:$B$5),"")</f>
        <v/>
      </c>
      <c r="T92" s="16" t="str">
        <f>IFERROR(_xlfn.XLOOKUP(O92,'Campaign Metadata'!$A$2:$A$5,'Campaign Metadata'!$C$2:$C$5),"")</f>
        <v/>
      </c>
      <c r="U92" s="27" t="str">
        <f t="shared" si="5"/>
        <v>No Campaign</v>
      </c>
      <c r="V92" s="7">
        <f t="shared" si="6"/>
        <v>1480</v>
      </c>
    </row>
    <row r="93" spans="1:22" ht="16.5" customHeight="1" x14ac:dyDescent="0.3">
      <c r="A93" s="32" t="s">
        <v>324</v>
      </c>
      <c r="B93" s="32" t="s">
        <v>3</v>
      </c>
      <c r="C93" s="5" t="s">
        <v>106</v>
      </c>
      <c r="D93" s="32" t="s">
        <v>28</v>
      </c>
      <c r="E93" s="32" t="s">
        <v>148</v>
      </c>
      <c r="F93" s="6">
        <v>3256</v>
      </c>
      <c r="G93" s="6">
        <v>459</v>
      </c>
      <c r="H93" s="6">
        <v>266</v>
      </c>
      <c r="I93" s="6">
        <v>26048</v>
      </c>
      <c r="J93" s="6">
        <v>25529</v>
      </c>
      <c r="K93" s="6">
        <v>143</v>
      </c>
      <c r="L93" s="32" t="s">
        <v>39</v>
      </c>
      <c r="O93" s="32" t="s">
        <v>69</v>
      </c>
      <c r="P93" s="24">
        <f t="shared" si="4"/>
        <v>0.15283323095823095</v>
      </c>
      <c r="S93" s="16" t="str">
        <f>IFERROR(_xlfn.XLOOKUP(O93,'Campaign Metadata'!$A$2:$A$5,'Campaign Metadata'!$B$2:$B$5),"")</f>
        <v>2024-10-01</v>
      </c>
      <c r="T93" s="16" t="str">
        <f>IFERROR(_xlfn.XLOOKUP(O93,'Campaign Metadata'!$A$2:$A$5,'Campaign Metadata'!$C$2:$C$5),"")</f>
        <v>2024-10-31</v>
      </c>
      <c r="U93" s="27" t="str">
        <f t="shared" si="5"/>
        <v>During</v>
      </c>
      <c r="V93" s="7">
        <f t="shared" si="6"/>
        <v>3981</v>
      </c>
    </row>
    <row r="94" spans="1:22" ht="16.5" customHeight="1" x14ac:dyDescent="0.3">
      <c r="A94" s="32" t="s">
        <v>325</v>
      </c>
      <c r="B94" s="32" t="s">
        <v>3</v>
      </c>
      <c r="C94" s="5" t="s">
        <v>96</v>
      </c>
      <c r="D94" s="32" t="s">
        <v>29</v>
      </c>
      <c r="E94" s="32" t="s">
        <v>145</v>
      </c>
      <c r="F94" s="6">
        <v>2404</v>
      </c>
      <c r="G94" s="6">
        <v>363</v>
      </c>
      <c r="H94" s="6">
        <v>138</v>
      </c>
      <c r="I94" s="6">
        <v>19232</v>
      </c>
      <c r="J94" s="6">
        <v>18636</v>
      </c>
      <c r="K94" s="6">
        <v>128</v>
      </c>
      <c r="L94" s="32" t="s">
        <v>36</v>
      </c>
      <c r="O94" s="32" t="s">
        <v>70</v>
      </c>
      <c r="P94" s="24">
        <f t="shared" si="4"/>
        <v>0.15105033277870217</v>
      </c>
      <c r="S94" s="16" t="str">
        <f>IFERROR(_xlfn.XLOOKUP(O94,'Campaign Metadata'!$A$2:$A$5,'Campaign Metadata'!$B$2:$B$5),"")</f>
        <v>2025-03-01</v>
      </c>
      <c r="T94" s="16" t="str">
        <f>IFERROR(_xlfn.XLOOKUP(O94,'Campaign Metadata'!$A$2:$A$5,'Campaign Metadata'!$C$2:$C$5),"")</f>
        <v>2025-03-31</v>
      </c>
      <c r="U94" s="27" t="str">
        <f t="shared" si="5"/>
        <v>Before</v>
      </c>
      <c r="V94" s="7">
        <f t="shared" si="6"/>
        <v>2905</v>
      </c>
    </row>
    <row r="95" spans="1:22" ht="16.5" customHeight="1" x14ac:dyDescent="0.3">
      <c r="A95" s="32" t="s">
        <v>326</v>
      </c>
      <c r="B95" s="32" t="s">
        <v>2</v>
      </c>
      <c r="C95" s="5" t="s">
        <v>327</v>
      </c>
      <c r="D95" s="32" t="s">
        <v>29</v>
      </c>
      <c r="E95" s="32" t="s">
        <v>204</v>
      </c>
      <c r="F95" s="6">
        <v>4242</v>
      </c>
      <c r="G95" s="6">
        <v>555</v>
      </c>
      <c r="H95" s="6">
        <v>131</v>
      </c>
      <c r="I95" s="6">
        <v>33936</v>
      </c>
      <c r="J95" s="6">
        <v>33802</v>
      </c>
      <c r="K95" s="6">
        <v>265</v>
      </c>
      <c r="L95" s="32" t="s">
        <v>37</v>
      </c>
      <c r="P95" s="24">
        <f t="shared" si="4"/>
        <v>0.14521452145214522</v>
      </c>
      <c r="S95" s="16" t="str">
        <f>IFERROR(_xlfn.XLOOKUP(O95,'Campaign Metadata'!$A$2:$A$5,'Campaign Metadata'!$B$2:$B$5),"")</f>
        <v/>
      </c>
      <c r="T95" s="16" t="str">
        <f>IFERROR(_xlfn.XLOOKUP(O95,'Campaign Metadata'!$A$2:$A$5,'Campaign Metadata'!$C$2:$C$5),"")</f>
        <v/>
      </c>
      <c r="U95" s="27" t="str">
        <f t="shared" si="5"/>
        <v>No Campaign</v>
      </c>
      <c r="V95" s="7">
        <f t="shared" si="6"/>
        <v>4928</v>
      </c>
    </row>
    <row r="96" spans="1:22" ht="16.5" customHeight="1" x14ac:dyDescent="0.3">
      <c r="A96" s="32" t="s">
        <v>328</v>
      </c>
      <c r="B96" s="32" t="s">
        <v>3</v>
      </c>
      <c r="C96" s="5" t="s">
        <v>329</v>
      </c>
      <c r="D96" s="32" t="s">
        <v>31</v>
      </c>
      <c r="E96" s="32" t="s">
        <v>154</v>
      </c>
      <c r="F96" s="6">
        <v>1176</v>
      </c>
      <c r="G96" s="6">
        <v>464</v>
      </c>
      <c r="H96" s="6">
        <v>394</v>
      </c>
      <c r="I96" s="6">
        <v>14112</v>
      </c>
      <c r="J96" s="6">
        <v>13588</v>
      </c>
      <c r="K96" s="6">
        <v>272</v>
      </c>
      <c r="L96" s="32" t="s">
        <v>36</v>
      </c>
      <c r="P96" s="24">
        <f t="shared" si="4"/>
        <v>0.1441326530612245</v>
      </c>
      <c r="S96" s="16" t="str">
        <f>IFERROR(_xlfn.XLOOKUP(O96,'Campaign Metadata'!$A$2:$A$5,'Campaign Metadata'!$B$2:$B$5),"")</f>
        <v/>
      </c>
      <c r="T96" s="16" t="str">
        <f>IFERROR(_xlfn.XLOOKUP(O96,'Campaign Metadata'!$A$2:$A$5,'Campaign Metadata'!$C$2:$C$5),"")</f>
        <v/>
      </c>
      <c r="U96" s="27" t="str">
        <f t="shared" si="5"/>
        <v>No Campaign</v>
      </c>
      <c r="V96" s="7">
        <f t="shared" si="6"/>
        <v>2034</v>
      </c>
    </row>
    <row r="97" spans="1:22" ht="16.5" customHeight="1" x14ac:dyDescent="0.3">
      <c r="A97" s="32" t="s">
        <v>330</v>
      </c>
      <c r="B97" s="32" t="s">
        <v>4</v>
      </c>
      <c r="C97" s="5" t="s">
        <v>331</v>
      </c>
      <c r="D97" s="32" t="s">
        <v>31</v>
      </c>
      <c r="E97" s="32" t="s">
        <v>249</v>
      </c>
      <c r="F97" s="6">
        <v>1330</v>
      </c>
      <c r="G97" s="6">
        <v>925</v>
      </c>
      <c r="H97" s="6">
        <v>35</v>
      </c>
      <c r="I97" s="6">
        <v>15960</v>
      </c>
      <c r="J97" s="6">
        <v>15379</v>
      </c>
      <c r="K97" s="6">
        <v>229</v>
      </c>
      <c r="L97" s="32" t="s">
        <v>37</v>
      </c>
      <c r="O97" s="32" t="s">
        <v>68</v>
      </c>
      <c r="P97" s="24">
        <f t="shared" si="4"/>
        <v>0.14348370927318296</v>
      </c>
      <c r="S97" s="16" t="str">
        <f>IFERROR(_xlfn.XLOOKUP(O97,'Campaign Metadata'!$A$2:$A$5,'Campaign Metadata'!$B$2:$B$5),"")</f>
        <v>2024-12-25</v>
      </c>
      <c r="T97" s="16" t="str">
        <f>IFERROR(_xlfn.XLOOKUP(O97,'Campaign Metadata'!$A$2:$A$5,'Campaign Metadata'!$C$2:$C$5),"")</f>
        <v>2025-01-10</v>
      </c>
      <c r="U97" s="27" t="str">
        <f t="shared" si="5"/>
        <v>Before</v>
      </c>
      <c r="V97" s="7">
        <f t="shared" si="6"/>
        <v>2290</v>
      </c>
    </row>
    <row r="98" spans="1:22" ht="16.5" customHeight="1" x14ac:dyDescent="0.3">
      <c r="A98" s="32" t="s">
        <v>332</v>
      </c>
      <c r="B98" s="32" t="s">
        <v>4</v>
      </c>
      <c r="C98" s="5" t="s">
        <v>327</v>
      </c>
      <c r="D98" s="32" t="s">
        <v>28</v>
      </c>
      <c r="E98" s="32" t="s">
        <v>177</v>
      </c>
      <c r="F98" s="6">
        <v>1076</v>
      </c>
      <c r="G98" s="6">
        <v>313</v>
      </c>
      <c r="H98" s="6">
        <v>306</v>
      </c>
      <c r="I98" s="6">
        <v>11836</v>
      </c>
      <c r="J98" s="6">
        <v>11596</v>
      </c>
      <c r="K98" s="6">
        <v>104</v>
      </c>
      <c r="L98" s="32" t="s">
        <v>37</v>
      </c>
      <c r="O98" s="32" t="s">
        <v>67</v>
      </c>
      <c r="P98" s="24">
        <f t="shared" si="4"/>
        <v>0.14320716458262928</v>
      </c>
      <c r="S98" s="16" t="str">
        <f>IFERROR(_xlfn.XLOOKUP(O98,'Campaign Metadata'!$A$2:$A$5,'Campaign Metadata'!$B$2:$B$5),"")</f>
        <v>2024-06-15</v>
      </c>
      <c r="T98" s="16" t="str">
        <f>IFERROR(_xlfn.XLOOKUP(O98,'Campaign Metadata'!$A$2:$A$5,'Campaign Metadata'!$C$2:$C$5),"")</f>
        <v>2024-07-15</v>
      </c>
      <c r="U98" s="27" t="str">
        <f t="shared" si="5"/>
        <v>Before</v>
      </c>
      <c r="V98" s="7">
        <f t="shared" si="6"/>
        <v>1695</v>
      </c>
    </row>
    <row r="99" spans="1:22" ht="16.5" customHeight="1" x14ac:dyDescent="0.3">
      <c r="A99" s="32" t="s">
        <v>333</v>
      </c>
      <c r="B99" s="32" t="s">
        <v>4</v>
      </c>
      <c r="C99" s="5" t="s">
        <v>334</v>
      </c>
      <c r="D99" s="32" t="s">
        <v>26</v>
      </c>
      <c r="E99" s="32" t="s">
        <v>159</v>
      </c>
      <c r="F99" s="6">
        <v>4274</v>
      </c>
      <c r="G99" s="6">
        <v>340</v>
      </c>
      <c r="H99" s="6">
        <v>281</v>
      </c>
      <c r="I99" s="6">
        <v>34192</v>
      </c>
      <c r="J99" s="6">
        <v>33446</v>
      </c>
      <c r="K99" s="6">
        <v>129</v>
      </c>
      <c r="L99" s="32" t="s">
        <v>39</v>
      </c>
      <c r="M99" s="27" t="s">
        <v>38</v>
      </c>
      <c r="O99" s="32" t="s">
        <v>68</v>
      </c>
      <c r="P99" s="24">
        <f t="shared" si="4"/>
        <v>0.14316214319138981</v>
      </c>
      <c r="S99" s="16" t="str">
        <f>IFERROR(_xlfn.XLOOKUP(O99,'Campaign Metadata'!$A$2:$A$5,'Campaign Metadata'!$B$2:$B$5),"")</f>
        <v>2024-12-25</v>
      </c>
      <c r="T99" s="16" t="str">
        <f>IFERROR(_xlfn.XLOOKUP(O99,'Campaign Metadata'!$A$2:$A$5,'Campaign Metadata'!$C$2:$C$5),"")</f>
        <v>2025-01-10</v>
      </c>
      <c r="U99" s="27" t="str">
        <f t="shared" si="5"/>
        <v>During</v>
      </c>
      <c r="V99" s="7">
        <f t="shared" si="6"/>
        <v>4895</v>
      </c>
    </row>
    <row r="100" spans="1:22" ht="16.5" customHeight="1" x14ac:dyDescent="0.3">
      <c r="A100" s="32" t="s">
        <v>335</v>
      </c>
      <c r="B100" s="32" t="s">
        <v>4</v>
      </c>
      <c r="C100" s="5" t="s">
        <v>336</v>
      </c>
      <c r="D100" s="32" t="s">
        <v>31</v>
      </c>
      <c r="E100" s="32" t="s">
        <v>249</v>
      </c>
      <c r="F100" s="6">
        <v>4886</v>
      </c>
      <c r="G100" s="6">
        <v>983</v>
      </c>
      <c r="H100" s="6">
        <v>409</v>
      </c>
      <c r="I100" s="6">
        <v>43974</v>
      </c>
      <c r="J100" s="6">
        <v>43239</v>
      </c>
      <c r="K100" s="6">
        <v>65</v>
      </c>
      <c r="L100" s="32" t="s">
        <v>39</v>
      </c>
      <c r="O100" s="32" t="s">
        <v>67</v>
      </c>
      <c r="P100" s="24">
        <f t="shared" si="4"/>
        <v>0.14276618001546368</v>
      </c>
      <c r="S100" s="16" t="str">
        <f>IFERROR(_xlfn.XLOOKUP(O100,'Campaign Metadata'!$A$2:$A$5,'Campaign Metadata'!$B$2:$B$5),"")</f>
        <v>2024-06-15</v>
      </c>
      <c r="T100" s="16" t="str">
        <f>IFERROR(_xlfn.XLOOKUP(O100,'Campaign Metadata'!$A$2:$A$5,'Campaign Metadata'!$C$2:$C$5),"")</f>
        <v>2024-07-15</v>
      </c>
      <c r="U100" s="27" t="str">
        <f t="shared" si="5"/>
        <v>Before</v>
      </c>
      <c r="V100" s="7">
        <f t="shared" si="6"/>
        <v>6278</v>
      </c>
    </row>
    <row r="101" spans="1:22" ht="16.5" customHeight="1" x14ac:dyDescent="0.3">
      <c r="A101" s="32" t="s">
        <v>337</v>
      </c>
      <c r="B101" s="32" t="s">
        <v>4</v>
      </c>
      <c r="C101" s="5" t="s">
        <v>338</v>
      </c>
      <c r="D101" s="32" t="s">
        <v>26</v>
      </c>
      <c r="E101" s="32" t="s">
        <v>159</v>
      </c>
      <c r="F101" s="6">
        <v>3811</v>
      </c>
      <c r="G101" s="6">
        <v>866</v>
      </c>
      <c r="H101" s="6">
        <v>216</v>
      </c>
      <c r="I101" s="6">
        <v>34299</v>
      </c>
      <c r="J101" s="6">
        <v>34088</v>
      </c>
      <c r="K101" s="6">
        <v>233</v>
      </c>
      <c r="L101" s="32" t="s">
        <v>39</v>
      </c>
      <c r="O101" s="32" t="s">
        <v>70</v>
      </c>
      <c r="P101" s="24">
        <f t="shared" si="4"/>
        <v>0.14265722032712325</v>
      </c>
      <c r="S101" s="16" t="str">
        <f>IFERROR(_xlfn.XLOOKUP(O101,'Campaign Metadata'!$A$2:$A$5,'Campaign Metadata'!$B$2:$B$5),"")</f>
        <v>2025-03-01</v>
      </c>
      <c r="T101" s="16" t="str">
        <f>IFERROR(_xlfn.XLOOKUP(O101,'Campaign Metadata'!$A$2:$A$5,'Campaign Metadata'!$C$2:$C$5),"")</f>
        <v>2025-03-31</v>
      </c>
      <c r="U101" s="27" t="str">
        <f t="shared" si="5"/>
        <v>Before</v>
      </c>
      <c r="V101" s="7">
        <f t="shared" si="6"/>
        <v>4893</v>
      </c>
    </row>
    <row r="102" spans="1:22" ht="16.5" customHeight="1" x14ac:dyDescent="0.3">
      <c r="A102" s="32" t="s">
        <v>339</v>
      </c>
      <c r="B102" s="32" t="s">
        <v>3</v>
      </c>
      <c r="C102" s="5" t="s">
        <v>340</v>
      </c>
      <c r="D102" s="32" t="s">
        <v>30</v>
      </c>
      <c r="E102" s="32" t="s">
        <v>197</v>
      </c>
      <c r="F102" s="6">
        <v>4941</v>
      </c>
      <c r="G102" s="6">
        <v>414</v>
      </c>
      <c r="H102" s="6">
        <v>266</v>
      </c>
      <c r="I102" s="6">
        <v>39528</v>
      </c>
      <c r="J102" s="6">
        <v>39154</v>
      </c>
      <c r="K102" s="6">
        <v>217</v>
      </c>
      <c r="L102" s="32" t="s">
        <v>39</v>
      </c>
      <c r="O102" s="32" t="s">
        <v>68</v>
      </c>
      <c r="P102" s="24">
        <f t="shared" si="4"/>
        <v>0.14220299534507186</v>
      </c>
      <c r="S102" s="16" t="str">
        <f>IFERROR(_xlfn.XLOOKUP(O102,'Campaign Metadata'!$A$2:$A$5,'Campaign Metadata'!$B$2:$B$5),"")</f>
        <v>2024-12-25</v>
      </c>
      <c r="T102" s="16" t="str">
        <f>IFERROR(_xlfn.XLOOKUP(O102,'Campaign Metadata'!$A$2:$A$5,'Campaign Metadata'!$C$2:$C$5),"")</f>
        <v>2025-01-10</v>
      </c>
      <c r="U102" s="27" t="str">
        <f t="shared" si="5"/>
        <v>Before</v>
      </c>
      <c r="V102" s="7">
        <f t="shared" si="6"/>
        <v>5621</v>
      </c>
    </row>
    <row r="103" spans="1:22" ht="16.5" customHeight="1" x14ac:dyDescent="0.3">
      <c r="A103" s="32" t="s">
        <v>341</v>
      </c>
      <c r="B103" s="32" t="s">
        <v>4</v>
      </c>
      <c r="C103" s="5" t="s">
        <v>342</v>
      </c>
      <c r="D103" s="32" t="s">
        <v>27</v>
      </c>
      <c r="E103" s="32" t="s">
        <v>162</v>
      </c>
      <c r="F103" s="6">
        <v>4750</v>
      </c>
      <c r="G103" s="6">
        <v>151</v>
      </c>
      <c r="H103" s="6">
        <v>415</v>
      </c>
      <c r="I103" s="6">
        <v>38000</v>
      </c>
      <c r="J103" s="6">
        <v>37792</v>
      </c>
      <c r="K103" s="6">
        <v>299</v>
      </c>
      <c r="L103" s="32" t="s">
        <v>36</v>
      </c>
      <c r="O103" s="32" t="s">
        <v>70</v>
      </c>
      <c r="P103" s="24">
        <f t="shared" si="4"/>
        <v>0.13989473684210527</v>
      </c>
      <c r="S103" s="16" t="str">
        <f>IFERROR(_xlfn.XLOOKUP(O103,'Campaign Metadata'!$A$2:$A$5,'Campaign Metadata'!$B$2:$B$5),"")</f>
        <v>2025-03-01</v>
      </c>
      <c r="T103" s="16" t="str">
        <f>IFERROR(_xlfn.XLOOKUP(O103,'Campaign Metadata'!$A$2:$A$5,'Campaign Metadata'!$C$2:$C$5),"")</f>
        <v>2025-03-31</v>
      </c>
      <c r="U103" s="27" t="str">
        <f t="shared" si="5"/>
        <v>During</v>
      </c>
      <c r="V103" s="7">
        <f t="shared" si="6"/>
        <v>5316</v>
      </c>
    </row>
    <row r="104" spans="1:22" ht="16.5" customHeight="1" x14ac:dyDescent="0.3">
      <c r="A104" s="32" t="s">
        <v>343</v>
      </c>
      <c r="B104" s="32" t="s">
        <v>2</v>
      </c>
      <c r="C104" s="5" t="s">
        <v>98</v>
      </c>
      <c r="D104" s="32" t="s">
        <v>27</v>
      </c>
      <c r="E104" s="32" t="s">
        <v>183</v>
      </c>
      <c r="F104" s="6">
        <v>2581</v>
      </c>
      <c r="G104" s="6">
        <v>517</v>
      </c>
      <c r="H104" s="6">
        <v>117</v>
      </c>
      <c r="I104" s="6">
        <v>23229</v>
      </c>
      <c r="J104" s="6">
        <v>22331</v>
      </c>
      <c r="K104" s="6">
        <v>70</v>
      </c>
      <c r="L104" s="32" t="s">
        <v>37</v>
      </c>
      <c r="O104" s="32" t="s">
        <v>68</v>
      </c>
      <c r="P104" s="24">
        <f t="shared" si="4"/>
        <v>0.13840458048129492</v>
      </c>
      <c r="S104" s="16" t="str">
        <f>IFERROR(_xlfn.XLOOKUP(O104,'Campaign Metadata'!$A$2:$A$5,'Campaign Metadata'!$B$2:$B$5),"")</f>
        <v>2024-12-25</v>
      </c>
      <c r="T104" s="16" t="str">
        <f>IFERROR(_xlfn.XLOOKUP(O104,'Campaign Metadata'!$A$2:$A$5,'Campaign Metadata'!$C$2:$C$5),"")</f>
        <v>2025-01-10</v>
      </c>
      <c r="U104" s="27" t="str">
        <f t="shared" si="5"/>
        <v>Before</v>
      </c>
      <c r="V104" s="7">
        <f t="shared" si="6"/>
        <v>3215</v>
      </c>
    </row>
    <row r="105" spans="1:22" ht="16.5" customHeight="1" x14ac:dyDescent="0.3">
      <c r="A105" s="32" t="s">
        <v>344</v>
      </c>
      <c r="B105" s="32" t="s">
        <v>2</v>
      </c>
      <c r="C105" s="5" t="s">
        <v>345</v>
      </c>
      <c r="D105" s="32" t="s">
        <v>30</v>
      </c>
      <c r="E105" s="32" t="s">
        <v>209</v>
      </c>
      <c r="F105" s="6">
        <v>3828</v>
      </c>
      <c r="G105" s="6">
        <v>148</v>
      </c>
      <c r="H105" s="6">
        <v>253</v>
      </c>
      <c r="I105" s="6">
        <v>30624</v>
      </c>
      <c r="J105" s="6">
        <v>30229</v>
      </c>
      <c r="K105" s="6">
        <v>235</v>
      </c>
      <c r="L105" s="32" t="s">
        <v>36</v>
      </c>
      <c r="P105" s="24">
        <f t="shared" si="4"/>
        <v>0.13809430512016718</v>
      </c>
      <c r="S105" s="16" t="str">
        <f>IFERROR(_xlfn.XLOOKUP(O105,'Campaign Metadata'!$A$2:$A$5,'Campaign Metadata'!$B$2:$B$5),"")</f>
        <v/>
      </c>
      <c r="T105" s="16" t="str">
        <f>IFERROR(_xlfn.XLOOKUP(O105,'Campaign Metadata'!$A$2:$A$5,'Campaign Metadata'!$C$2:$C$5),"")</f>
        <v/>
      </c>
      <c r="U105" s="27" t="str">
        <f t="shared" si="5"/>
        <v>No Campaign</v>
      </c>
      <c r="V105" s="7">
        <f t="shared" si="6"/>
        <v>4229</v>
      </c>
    </row>
    <row r="106" spans="1:22" ht="16.5" customHeight="1" x14ac:dyDescent="0.3">
      <c r="A106" s="32" t="s">
        <v>346</v>
      </c>
      <c r="B106" s="32" t="s">
        <v>5</v>
      </c>
      <c r="C106" s="5" t="s">
        <v>315</v>
      </c>
      <c r="D106" s="32" t="s">
        <v>29</v>
      </c>
      <c r="E106" s="32" t="s">
        <v>347</v>
      </c>
      <c r="F106" s="6">
        <v>3655</v>
      </c>
      <c r="G106" s="6">
        <v>568</v>
      </c>
      <c r="H106" s="6">
        <v>286</v>
      </c>
      <c r="I106" s="6">
        <v>32895</v>
      </c>
      <c r="J106" s="6">
        <v>32015</v>
      </c>
      <c r="K106" s="6">
        <v>199</v>
      </c>
      <c r="L106" s="32" t="s">
        <v>39</v>
      </c>
      <c r="O106" s="32" t="s">
        <v>68</v>
      </c>
      <c r="P106" s="24">
        <f t="shared" si="4"/>
        <v>0.13707250341997265</v>
      </c>
      <c r="S106" s="16" t="str">
        <f>IFERROR(_xlfn.XLOOKUP(O106,'Campaign Metadata'!$A$2:$A$5,'Campaign Metadata'!$B$2:$B$5),"")</f>
        <v>2024-12-25</v>
      </c>
      <c r="T106" s="16" t="str">
        <f>IFERROR(_xlfn.XLOOKUP(O106,'Campaign Metadata'!$A$2:$A$5,'Campaign Metadata'!$C$2:$C$5),"")</f>
        <v>2025-01-10</v>
      </c>
      <c r="U106" s="27" t="str">
        <f t="shared" si="5"/>
        <v>Before</v>
      </c>
      <c r="V106" s="7">
        <f t="shared" si="6"/>
        <v>4509</v>
      </c>
    </row>
    <row r="107" spans="1:22" ht="16.5" customHeight="1" x14ac:dyDescent="0.3">
      <c r="A107" s="32" t="s">
        <v>348</v>
      </c>
      <c r="B107" s="32" t="s">
        <v>3</v>
      </c>
      <c r="C107" s="5" t="s">
        <v>190</v>
      </c>
      <c r="D107" s="32" t="s">
        <v>26</v>
      </c>
      <c r="E107" s="32" t="s">
        <v>186</v>
      </c>
      <c r="F107" s="6">
        <v>914</v>
      </c>
      <c r="G107" s="6">
        <v>464</v>
      </c>
      <c r="H107" s="6">
        <v>246</v>
      </c>
      <c r="I107" s="6">
        <v>11882</v>
      </c>
      <c r="J107" s="6">
        <v>11500</v>
      </c>
      <c r="K107" s="6">
        <v>282</v>
      </c>
      <c r="L107" s="32" t="s">
        <v>37</v>
      </c>
      <c r="M107" s="27" t="s">
        <v>39</v>
      </c>
      <c r="N107" s="27" t="s">
        <v>34</v>
      </c>
      <c r="O107" s="32" t="s">
        <v>70</v>
      </c>
      <c r="P107" s="24">
        <f t="shared" si="4"/>
        <v>0.13667732704931829</v>
      </c>
      <c r="S107" s="16" t="str">
        <f>IFERROR(_xlfn.XLOOKUP(O107,'Campaign Metadata'!$A$2:$A$5,'Campaign Metadata'!$B$2:$B$5),"")</f>
        <v>2025-03-01</v>
      </c>
      <c r="T107" s="16" t="str">
        <f>IFERROR(_xlfn.XLOOKUP(O107,'Campaign Metadata'!$A$2:$A$5,'Campaign Metadata'!$C$2:$C$5),"")</f>
        <v>2025-03-31</v>
      </c>
      <c r="U107" s="27" t="str">
        <f t="shared" si="5"/>
        <v>Before</v>
      </c>
      <c r="V107" s="7">
        <f t="shared" si="6"/>
        <v>1624</v>
      </c>
    </row>
    <row r="108" spans="1:22" ht="16.5" customHeight="1" x14ac:dyDescent="0.3">
      <c r="A108" s="32" t="s">
        <v>349</v>
      </c>
      <c r="B108" s="32" t="s">
        <v>4</v>
      </c>
      <c r="C108" s="5" t="s">
        <v>350</v>
      </c>
      <c r="D108" s="32" t="s">
        <v>27</v>
      </c>
      <c r="E108" s="32" t="s">
        <v>162</v>
      </c>
      <c r="F108" s="6">
        <v>3215</v>
      </c>
      <c r="G108" s="6">
        <v>960</v>
      </c>
      <c r="H108" s="6">
        <v>202</v>
      </c>
      <c r="I108" s="6">
        <v>32150</v>
      </c>
      <c r="J108" s="6">
        <v>31404</v>
      </c>
      <c r="K108" s="6">
        <v>251</v>
      </c>
      <c r="L108" s="32" t="s">
        <v>36</v>
      </c>
      <c r="O108" s="32" t="s">
        <v>67</v>
      </c>
      <c r="P108" s="24">
        <f t="shared" si="4"/>
        <v>0.13614307931570763</v>
      </c>
      <c r="S108" s="16" t="str">
        <f>IFERROR(_xlfn.XLOOKUP(O108,'Campaign Metadata'!$A$2:$A$5,'Campaign Metadata'!$B$2:$B$5),"")</f>
        <v>2024-06-15</v>
      </c>
      <c r="T108" s="16" t="str">
        <f>IFERROR(_xlfn.XLOOKUP(O108,'Campaign Metadata'!$A$2:$A$5,'Campaign Metadata'!$C$2:$C$5),"")</f>
        <v>2024-07-15</v>
      </c>
      <c r="U108" s="27" t="str">
        <f t="shared" si="5"/>
        <v>Before</v>
      </c>
      <c r="V108" s="7">
        <f t="shared" si="6"/>
        <v>4377</v>
      </c>
    </row>
    <row r="109" spans="1:22" ht="16.5" customHeight="1" x14ac:dyDescent="0.3">
      <c r="A109" s="32" t="s">
        <v>351</v>
      </c>
      <c r="B109" s="32" t="s">
        <v>4</v>
      </c>
      <c r="C109" s="5" t="s">
        <v>106</v>
      </c>
      <c r="D109" s="32" t="s">
        <v>29</v>
      </c>
      <c r="E109" s="32" t="s">
        <v>151</v>
      </c>
      <c r="F109" s="6">
        <v>3801</v>
      </c>
      <c r="G109" s="6">
        <v>967</v>
      </c>
      <c r="H109" s="6">
        <v>401</v>
      </c>
      <c r="I109" s="6">
        <v>38010</v>
      </c>
      <c r="J109" s="6">
        <v>37625</v>
      </c>
      <c r="K109" s="6">
        <v>236</v>
      </c>
      <c r="L109" s="32" t="s">
        <v>37</v>
      </c>
      <c r="O109" s="32" t="s">
        <v>68</v>
      </c>
      <c r="P109" s="24">
        <f t="shared" si="4"/>
        <v>0.13599052880820836</v>
      </c>
      <c r="S109" s="16" t="str">
        <f>IFERROR(_xlfn.XLOOKUP(O109,'Campaign Metadata'!$A$2:$A$5,'Campaign Metadata'!$B$2:$B$5),"")</f>
        <v>2024-12-25</v>
      </c>
      <c r="T109" s="16" t="str">
        <f>IFERROR(_xlfn.XLOOKUP(O109,'Campaign Metadata'!$A$2:$A$5,'Campaign Metadata'!$C$2:$C$5),"")</f>
        <v>2025-01-10</v>
      </c>
      <c r="U109" s="27" t="str">
        <f t="shared" si="5"/>
        <v>Before</v>
      </c>
      <c r="V109" s="7">
        <f t="shared" si="6"/>
        <v>5169</v>
      </c>
    </row>
    <row r="110" spans="1:22" ht="16.5" customHeight="1" x14ac:dyDescent="0.3">
      <c r="A110" s="32" t="s">
        <v>352</v>
      </c>
      <c r="B110" s="32" t="s">
        <v>2</v>
      </c>
      <c r="C110" s="5" t="s">
        <v>277</v>
      </c>
      <c r="D110" s="32" t="s">
        <v>29</v>
      </c>
      <c r="E110" s="32" t="s">
        <v>204</v>
      </c>
      <c r="F110" s="6">
        <v>302</v>
      </c>
      <c r="G110" s="6">
        <v>47</v>
      </c>
      <c r="H110" s="6">
        <v>430</v>
      </c>
      <c r="I110" s="6">
        <v>5738</v>
      </c>
      <c r="J110" s="6">
        <v>4890</v>
      </c>
      <c r="K110" s="6">
        <v>25</v>
      </c>
      <c r="L110" s="32" t="s">
        <v>39</v>
      </c>
      <c r="O110" s="32" t="s">
        <v>70</v>
      </c>
      <c r="P110" s="24">
        <f t="shared" si="4"/>
        <v>0.13576158940397351</v>
      </c>
      <c r="S110" s="16" t="str">
        <f>IFERROR(_xlfn.XLOOKUP(O110,'Campaign Metadata'!$A$2:$A$5,'Campaign Metadata'!$B$2:$B$5),"")</f>
        <v>2025-03-01</v>
      </c>
      <c r="T110" s="16" t="str">
        <f>IFERROR(_xlfn.XLOOKUP(O110,'Campaign Metadata'!$A$2:$A$5,'Campaign Metadata'!$C$2:$C$5),"")</f>
        <v>2025-03-31</v>
      </c>
      <c r="U110" s="27" t="str">
        <f t="shared" si="5"/>
        <v>Before</v>
      </c>
      <c r="V110" s="7">
        <f t="shared" si="6"/>
        <v>779</v>
      </c>
    </row>
    <row r="111" spans="1:22" ht="16.5" customHeight="1" x14ac:dyDescent="0.3">
      <c r="A111" s="32" t="s">
        <v>353</v>
      </c>
      <c r="B111" s="32" t="s">
        <v>5</v>
      </c>
      <c r="C111" s="5" t="s">
        <v>275</v>
      </c>
      <c r="D111" s="32" t="s">
        <v>30</v>
      </c>
      <c r="E111" s="32" t="s">
        <v>217</v>
      </c>
      <c r="F111" s="6">
        <v>4021</v>
      </c>
      <c r="G111" s="6">
        <v>794</v>
      </c>
      <c r="H111" s="6">
        <v>77</v>
      </c>
      <c r="I111" s="6">
        <v>36189</v>
      </c>
      <c r="J111" s="6">
        <v>35505</v>
      </c>
      <c r="K111" s="6">
        <v>174</v>
      </c>
      <c r="L111" s="32" t="s">
        <v>36</v>
      </c>
      <c r="P111" s="24">
        <f t="shared" si="4"/>
        <v>0.13517919809886983</v>
      </c>
      <c r="S111" s="16" t="str">
        <f>IFERROR(_xlfn.XLOOKUP(O111,'Campaign Metadata'!$A$2:$A$5,'Campaign Metadata'!$B$2:$B$5),"")</f>
        <v/>
      </c>
      <c r="T111" s="16" t="str">
        <f>IFERROR(_xlfn.XLOOKUP(O111,'Campaign Metadata'!$A$2:$A$5,'Campaign Metadata'!$C$2:$C$5),"")</f>
        <v/>
      </c>
      <c r="U111" s="27" t="str">
        <f t="shared" si="5"/>
        <v>No Campaign</v>
      </c>
      <c r="V111" s="7">
        <f t="shared" si="6"/>
        <v>4892</v>
      </c>
    </row>
    <row r="112" spans="1:22" ht="16.5" customHeight="1" x14ac:dyDescent="0.3">
      <c r="A112" s="32" t="s">
        <v>354</v>
      </c>
      <c r="B112" s="32" t="s">
        <v>5</v>
      </c>
      <c r="C112" s="5" t="s">
        <v>355</v>
      </c>
      <c r="D112" s="32" t="s">
        <v>29</v>
      </c>
      <c r="E112" s="32" t="s">
        <v>347</v>
      </c>
      <c r="F112" s="6">
        <v>2754</v>
      </c>
      <c r="G112" s="6">
        <v>130</v>
      </c>
      <c r="H112" s="6">
        <v>90</v>
      </c>
      <c r="I112" s="6">
        <v>22032</v>
      </c>
      <c r="J112" s="6">
        <v>21288</v>
      </c>
      <c r="K112" s="6">
        <v>112</v>
      </c>
      <c r="L112" s="32" t="s">
        <v>39</v>
      </c>
      <c r="O112" s="32" t="s">
        <v>68</v>
      </c>
      <c r="P112" s="24">
        <f t="shared" si="4"/>
        <v>0.13498547567175018</v>
      </c>
      <c r="S112" s="16" t="str">
        <f>IFERROR(_xlfn.XLOOKUP(O112,'Campaign Metadata'!$A$2:$A$5,'Campaign Metadata'!$B$2:$B$5),"")</f>
        <v>2024-12-25</v>
      </c>
      <c r="T112" s="16" t="str">
        <f>IFERROR(_xlfn.XLOOKUP(O112,'Campaign Metadata'!$A$2:$A$5,'Campaign Metadata'!$C$2:$C$5),"")</f>
        <v>2025-01-10</v>
      </c>
      <c r="U112" s="27" t="str">
        <f t="shared" si="5"/>
        <v>Before</v>
      </c>
      <c r="V112" s="7">
        <f t="shared" si="6"/>
        <v>2974</v>
      </c>
    </row>
    <row r="113" spans="1:22" ht="16.5" customHeight="1" x14ac:dyDescent="0.3">
      <c r="A113" s="32" t="s">
        <v>356</v>
      </c>
      <c r="B113" s="32" t="s">
        <v>3</v>
      </c>
      <c r="C113" s="5" t="s">
        <v>253</v>
      </c>
      <c r="D113" s="32" t="s">
        <v>29</v>
      </c>
      <c r="E113" s="32" t="s">
        <v>145</v>
      </c>
      <c r="F113" s="6">
        <v>1947</v>
      </c>
      <c r="G113" s="6">
        <v>842</v>
      </c>
      <c r="H113" s="6">
        <v>101</v>
      </c>
      <c r="I113" s="6">
        <v>21417</v>
      </c>
      <c r="J113" s="6">
        <v>20967</v>
      </c>
      <c r="K113" s="6">
        <v>186</v>
      </c>
      <c r="L113" s="32" t="s">
        <v>37</v>
      </c>
      <c r="O113" s="32" t="s">
        <v>69</v>
      </c>
      <c r="P113" s="24">
        <f t="shared" si="4"/>
        <v>0.13493953401503478</v>
      </c>
      <c r="S113" s="16" t="str">
        <f>IFERROR(_xlfn.XLOOKUP(O113,'Campaign Metadata'!$A$2:$A$5,'Campaign Metadata'!$B$2:$B$5),"")</f>
        <v>2024-10-01</v>
      </c>
      <c r="T113" s="16" t="str">
        <f>IFERROR(_xlfn.XLOOKUP(O113,'Campaign Metadata'!$A$2:$A$5,'Campaign Metadata'!$C$2:$C$5),"")</f>
        <v>2024-10-31</v>
      </c>
      <c r="U113" s="27" t="str">
        <f t="shared" si="5"/>
        <v>Before</v>
      </c>
      <c r="V113" s="7">
        <f t="shared" si="6"/>
        <v>2890</v>
      </c>
    </row>
    <row r="114" spans="1:22" ht="16.5" customHeight="1" x14ac:dyDescent="0.3">
      <c r="A114" s="32" t="s">
        <v>357</v>
      </c>
      <c r="B114" s="32" t="s">
        <v>3</v>
      </c>
      <c r="C114" s="5" t="s">
        <v>355</v>
      </c>
      <c r="D114" s="32" t="s">
        <v>26</v>
      </c>
      <c r="E114" s="32" t="s">
        <v>186</v>
      </c>
      <c r="F114" s="6">
        <v>4799</v>
      </c>
      <c r="G114" s="6">
        <v>694</v>
      </c>
      <c r="H114" s="6">
        <v>289</v>
      </c>
      <c r="I114" s="6">
        <v>43191</v>
      </c>
      <c r="J114" s="6">
        <v>42228</v>
      </c>
      <c r="K114" s="6">
        <v>118</v>
      </c>
      <c r="L114" s="32" t="s">
        <v>39</v>
      </c>
      <c r="P114" s="24">
        <f t="shared" si="4"/>
        <v>0.13387048227640017</v>
      </c>
      <c r="S114" s="16" t="str">
        <f>IFERROR(_xlfn.XLOOKUP(O114,'Campaign Metadata'!$A$2:$A$5,'Campaign Metadata'!$B$2:$B$5),"")</f>
        <v/>
      </c>
      <c r="T114" s="16" t="str">
        <f>IFERROR(_xlfn.XLOOKUP(O114,'Campaign Metadata'!$A$2:$A$5,'Campaign Metadata'!$C$2:$C$5),"")</f>
        <v/>
      </c>
      <c r="U114" s="27" t="str">
        <f t="shared" si="5"/>
        <v>No Campaign</v>
      </c>
      <c r="V114" s="7">
        <f t="shared" si="6"/>
        <v>5782</v>
      </c>
    </row>
    <row r="115" spans="1:22" ht="16.5" customHeight="1" x14ac:dyDescent="0.3">
      <c r="A115" s="32" t="s">
        <v>358</v>
      </c>
      <c r="B115" s="32" t="s">
        <v>5</v>
      </c>
      <c r="C115" s="5" t="s">
        <v>107</v>
      </c>
      <c r="D115" s="32" t="s">
        <v>28</v>
      </c>
      <c r="E115" s="32" t="s">
        <v>237</v>
      </c>
      <c r="F115" s="6">
        <v>1855</v>
      </c>
      <c r="G115" s="6">
        <v>200</v>
      </c>
      <c r="H115" s="6">
        <v>174</v>
      </c>
      <c r="I115" s="6">
        <v>16695</v>
      </c>
      <c r="J115" s="6">
        <v>16330</v>
      </c>
      <c r="K115" s="6">
        <v>123</v>
      </c>
      <c r="L115" s="32" t="s">
        <v>39</v>
      </c>
      <c r="O115" s="32" t="s">
        <v>68</v>
      </c>
      <c r="P115" s="24">
        <f t="shared" si="4"/>
        <v>0.13351302785265048</v>
      </c>
      <c r="S115" s="16" t="str">
        <f>IFERROR(_xlfn.XLOOKUP(O115,'Campaign Metadata'!$A$2:$A$5,'Campaign Metadata'!$B$2:$B$5),"")</f>
        <v>2024-12-25</v>
      </c>
      <c r="T115" s="16" t="str">
        <f>IFERROR(_xlfn.XLOOKUP(O115,'Campaign Metadata'!$A$2:$A$5,'Campaign Metadata'!$C$2:$C$5),"")</f>
        <v>2025-01-10</v>
      </c>
      <c r="U115" s="27" t="str">
        <f t="shared" si="5"/>
        <v>Before</v>
      </c>
      <c r="V115" s="7">
        <f t="shared" si="6"/>
        <v>2229</v>
      </c>
    </row>
    <row r="116" spans="1:22" ht="16.5" customHeight="1" x14ac:dyDescent="0.3">
      <c r="A116" s="32" t="s">
        <v>359</v>
      </c>
      <c r="B116" s="32" t="s">
        <v>4</v>
      </c>
      <c r="C116" s="5" t="s">
        <v>360</v>
      </c>
      <c r="D116" s="32" t="s">
        <v>27</v>
      </c>
      <c r="E116" s="32" t="s">
        <v>162</v>
      </c>
      <c r="F116" s="6">
        <v>2692</v>
      </c>
      <c r="G116" s="6">
        <v>115</v>
      </c>
      <c r="H116" s="6">
        <v>64</v>
      </c>
      <c r="I116" s="6">
        <v>21536</v>
      </c>
      <c r="J116" s="6">
        <v>21120</v>
      </c>
      <c r="K116" s="6">
        <v>224</v>
      </c>
      <c r="L116" s="32" t="s">
        <v>37</v>
      </c>
      <c r="O116" s="32" t="s">
        <v>69</v>
      </c>
      <c r="P116" s="24">
        <f t="shared" si="4"/>
        <v>0.13331166419019316</v>
      </c>
      <c r="S116" s="16" t="str">
        <f>IFERROR(_xlfn.XLOOKUP(O116,'Campaign Metadata'!$A$2:$A$5,'Campaign Metadata'!$B$2:$B$5),"")</f>
        <v>2024-10-01</v>
      </c>
      <c r="T116" s="16" t="str">
        <f>IFERROR(_xlfn.XLOOKUP(O116,'Campaign Metadata'!$A$2:$A$5,'Campaign Metadata'!$C$2:$C$5),"")</f>
        <v>2024-10-31</v>
      </c>
      <c r="U116" s="27" t="str">
        <f t="shared" si="5"/>
        <v>Before</v>
      </c>
      <c r="V116" s="7">
        <f t="shared" si="6"/>
        <v>2871</v>
      </c>
    </row>
    <row r="117" spans="1:22" ht="16.5" customHeight="1" x14ac:dyDescent="0.3">
      <c r="A117" s="32" t="s">
        <v>361</v>
      </c>
      <c r="B117" s="32" t="s">
        <v>3</v>
      </c>
      <c r="C117" s="5" t="s">
        <v>106</v>
      </c>
      <c r="D117" s="32" t="s">
        <v>28</v>
      </c>
      <c r="E117" s="32" t="s">
        <v>148</v>
      </c>
      <c r="F117" s="6">
        <v>4840</v>
      </c>
      <c r="G117" s="6">
        <v>658</v>
      </c>
      <c r="H117" s="6">
        <v>211</v>
      </c>
      <c r="I117" s="6">
        <v>43560</v>
      </c>
      <c r="J117" s="6">
        <v>43225</v>
      </c>
      <c r="K117" s="6">
        <v>57</v>
      </c>
      <c r="L117" s="32" t="s">
        <v>37</v>
      </c>
      <c r="O117" s="32" t="s">
        <v>68</v>
      </c>
      <c r="P117" s="24">
        <f t="shared" si="4"/>
        <v>0.13106060606060607</v>
      </c>
      <c r="S117" s="16" t="str">
        <f>IFERROR(_xlfn.XLOOKUP(O117,'Campaign Metadata'!$A$2:$A$5,'Campaign Metadata'!$B$2:$B$5),"")</f>
        <v>2024-12-25</v>
      </c>
      <c r="T117" s="16" t="str">
        <f>IFERROR(_xlfn.XLOOKUP(O117,'Campaign Metadata'!$A$2:$A$5,'Campaign Metadata'!$C$2:$C$5),"")</f>
        <v>2025-01-10</v>
      </c>
      <c r="U117" s="27" t="str">
        <f t="shared" si="5"/>
        <v>Before</v>
      </c>
      <c r="V117" s="7">
        <f t="shared" si="6"/>
        <v>5709</v>
      </c>
    </row>
    <row r="118" spans="1:22" ht="16.5" customHeight="1" x14ac:dyDescent="0.3">
      <c r="A118" s="32" t="s">
        <v>362</v>
      </c>
      <c r="B118" s="32" t="s">
        <v>2</v>
      </c>
      <c r="C118" s="5" t="s">
        <v>97</v>
      </c>
      <c r="D118" s="32" t="s">
        <v>30</v>
      </c>
      <c r="E118" s="32" t="s">
        <v>209</v>
      </c>
      <c r="F118" s="6">
        <v>1257</v>
      </c>
      <c r="G118" s="6">
        <v>19</v>
      </c>
      <c r="H118" s="6">
        <v>351</v>
      </c>
      <c r="I118" s="6">
        <v>12570</v>
      </c>
      <c r="J118" s="6">
        <v>11660</v>
      </c>
      <c r="K118" s="6">
        <v>194</v>
      </c>
      <c r="L118" s="32" t="s">
        <v>37</v>
      </c>
      <c r="M118" s="27" t="s">
        <v>34</v>
      </c>
      <c r="N118" s="27" t="s">
        <v>36</v>
      </c>
      <c r="O118" s="32" t="s">
        <v>69</v>
      </c>
      <c r="P118" s="24">
        <f t="shared" si="4"/>
        <v>0.12943516308671441</v>
      </c>
      <c r="S118" s="16" t="str">
        <f>IFERROR(_xlfn.XLOOKUP(O118,'Campaign Metadata'!$A$2:$A$5,'Campaign Metadata'!$B$2:$B$5),"")</f>
        <v>2024-10-01</v>
      </c>
      <c r="T118" s="16" t="str">
        <f>IFERROR(_xlfn.XLOOKUP(O118,'Campaign Metadata'!$A$2:$A$5,'Campaign Metadata'!$C$2:$C$5),"")</f>
        <v>2024-10-31</v>
      </c>
      <c r="U118" s="27" t="str">
        <f t="shared" si="5"/>
        <v>Before</v>
      </c>
      <c r="V118" s="7">
        <f t="shared" si="6"/>
        <v>1627</v>
      </c>
    </row>
    <row r="119" spans="1:22" ht="16.5" customHeight="1" x14ac:dyDescent="0.3">
      <c r="A119" s="32" t="s">
        <v>363</v>
      </c>
      <c r="B119" s="32" t="s">
        <v>4</v>
      </c>
      <c r="C119" s="5" t="s">
        <v>364</v>
      </c>
      <c r="D119" s="32" t="s">
        <v>29</v>
      </c>
      <c r="E119" s="32" t="s">
        <v>151</v>
      </c>
      <c r="F119" s="6">
        <v>4000</v>
      </c>
      <c r="G119" s="6">
        <v>689</v>
      </c>
      <c r="H119" s="6">
        <v>488</v>
      </c>
      <c r="I119" s="6">
        <v>40000</v>
      </c>
      <c r="J119" s="6">
        <v>39569</v>
      </c>
      <c r="K119" s="6">
        <v>44</v>
      </c>
      <c r="L119" s="32" t="s">
        <v>37</v>
      </c>
      <c r="O119" s="32" t="s">
        <v>67</v>
      </c>
      <c r="P119" s="24">
        <f t="shared" si="4"/>
        <v>0.12942500000000001</v>
      </c>
      <c r="S119" s="16" t="str">
        <f>IFERROR(_xlfn.XLOOKUP(O119,'Campaign Metadata'!$A$2:$A$5,'Campaign Metadata'!$B$2:$B$5),"")</f>
        <v>2024-06-15</v>
      </c>
      <c r="T119" s="16" t="str">
        <f>IFERROR(_xlfn.XLOOKUP(O119,'Campaign Metadata'!$A$2:$A$5,'Campaign Metadata'!$C$2:$C$5),"")</f>
        <v>2024-07-15</v>
      </c>
      <c r="U119" s="27" t="str">
        <f t="shared" si="5"/>
        <v>Before</v>
      </c>
      <c r="V119" s="7">
        <f t="shared" si="6"/>
        <v>5177</v>
      </c>
    </row>
    <row r="120" spans="1:22" ht="16.5" customHeight="1" x14ac:dyDescent="0.3">
      <c r="A120" s="32" t="s">
        <v>365</v>
      </c>
      <c r="B120" s="32" t="s">
        <v>2</v>
      </c>
      <c r="C120" s="5" t="s">
        <v>366</v>
      </c>
      <c r="D120" s="32" t="s">
        <v>26</v>
      </c>
      <c r="E120" s="32" t="s">
        <v>273</v>
      </c>
      <c r="F120" s="6">
        <v>2946</v>
      </c>
      <c r="G120" s="6">
        <v>498</v>
      </c>
      <c r="H120" s="6">
        <v>367</v>
      </c>
      <c r="I120" s="6">
        <v>29460</v>
      </c>
      <c r="J120" s="6">
        <v>28527</v>
      </c>
      <c r="K120" s="6">
        <v>60</v>
      </c>
      <c r="L120" s="32" t="s">
        <v>37</v>
      </c>
      <c r="O120" s="32" t="s">
        <v>68</v>
      </c>
      <c r="P120" s="24">
        <f t="shared" si="4"/>
        <v>0.12936184657162253</v>
      </c>
      <c r="S120" s="16" t="str">
        <f>IFERROR(_xlfn.XLOOKUP(O120,'Campaign Metadata'!$A$2:$A$5,'Campaign Metadata'!$B$2:$B$5),"")</f>
        <v>2024-12-25</v>
      </c>
      <c r="T120" s="16" t="str">
        <f>IFERROR(_xlfn.XLOOKUP(O120,'Campaign Metadata'!$A$2:$A$5,'Campaign Metadata'!$C$2:$C$5),"")</f>
        <v>2025-01-10</v>
      </c>
      <c r="U120" s="27" t="str">
        <f t="shared" si="5"/>
        <v>Before</v>
      </c>
      <c r="V120" s="7">
        <f t="shared" si="6"/>
        <v>3811</v>
      </c>
    </row>
    <row r="121" spans="1:22" ht="16.5" customHeight="1" x14ac:dyDescent="0.3">
      <c r="A121" s="32" t="s">
        <v>367</v>
      </c>
      <c r="B121" s="32" t="s">
        <v>3</v>
      </c>
      <c r="C121" s="5" t="s">
        <v>227</v>
      </c>
      <c r="D121" s="32" t="s">
        <v>26</v>
      </c>
      <c r="E121" s="32" t="s">
        <v>186</v>
      </c>
      <c r="F121" s="6">
        <v>498</v>
      </c>
      <c r="G121" s="6">
        <v>38</v>
      </c>
      <c r="H121" s="6">
        <v>42</v>
      </c>
      <c r="I121" s="6">
        <v>4482</v>
      </c>
      <c r="J121" s="6">
        <v>3647</v>
      </c>
      <c r="K121" s="6">
        <v>32</v>
      </c>
      <c r="L121" s="32" t="s">
        <v>37</v>
      </c>
      <c r="O121" s="32" t="s">
        <v>67</v>
      </c>
      <c r="P121" s="24">
        <f t="shared" si="4"/>
        <v>0.12896028558679162</v>
      </c>
      <c r="S121" s="16" t="str">
        <f>IFERROR(_xlfn.XLOOKUP(O121,'Campaign Metadata'!$A$2:$A$5,'Campaign Metadata'!$B$2:$B$5),"")</f>
        <v>2024-06-15</v>
      </c>
      <c r="T121" s="16" t="str">
        <f>IFERROR(_xlfn.XLOOKUP(O121,'Campaign Metadata'!$A$2:$A$5,'Campaign Metadata'!$C$2:$C$5),"")</f>
        <v>2024-07-15</v>
      </c>
      <c r="U121" s="27" t="str">
        <f t="shared" si="5"/>
        <v>Before</v>
      </c>
      <c r="V121" s="7">
        <f t="shared" si="6"/>
        <v>578</v>
      </c>
    </row>
    <row r="122" spans="1:22" ht="16.5" customHeight="1" x14ac:dyDescent="0.3">
      <c r="A122" s="32" t="s">
        <v>368</v>
      </c>
      <c r="B122" s="32" t="s">
        <v>2</v>
      </c>
      <c r="C122" s="5" t="s">
        <v>292</v>
      </c>
      <c r="D122" s="32" t="s">
        <v>28</v>
      </c>
      <c r="E122" s="32" t="s">
        <v>278</v>
      </c>
      <c r="F122" s="6">
        <v>1946</v>
      </c>
      <c r="G122" s="6">
        <v>686</v>
      </c>
      <c r="H122" s="6">
        <v>377</v>
      </c>
      <c r="I122" s="6">
        <v>23352</v>
      </c>
      <c r="J122" s="6">
        <v>22982</v>
      </c>
      <c r="K122" s="6">
        <v>213</v>
      </c>
      <c r="L122" s="32" t="s">
        <v>37</v>
      </c>
      <c r="O122" s="32" t="s">
        <v>68</v>
      </c>
      <c r="P122" s="24">
        <f t="shared" si="4"/>
        <v>0.12885405960945528</v>
      </c>
      <c r="S122" s="16" t="str">
        <f>IFERROR(_xlfn.XLOOKUP(O122,'Campaign Metadata'!$A$2:$A$5,'Campaign Metadata'!$B$2:$B$5),"")</f>
        <v>2024-12-25</v>
      </c>
      <c r="T122" s="16" t="str">
        <f>IFERROR(_xlfn.XLOOKUP(O122,'Campaign Metadata'!$A$2:$A$5,'Campaign Metadata'!$C$2:$C$5),"")</f>
        <v>2025-01-10</v>
      </c>
      <c r="U122" s="27" t="str">
        <f t="shared" si="5"/>
        <v>Before</v>
      </c>
      <c r="V122" s="7">
        <f t="shared" si="6"/>
        <v>3009</v>
      </c>
    </row>
    <row r="123" spans="1:22" ht="16.5" customHeight="1" x14ac:dyDescent="0.3">
      <c r="A123" s="32" t="s">
        <v>369</v>
      </c>
      <c r="B123" s="32" t="s">
        <v>2</v>
      </c>
      <c r="C123" s="5" t="s">
        <v>370</v>
      </c>
      <c r="D123" s="32" t="s">
        <v>27</v>
      </c>
      <c r="E123" s="32" t="s">
        <v>183</v>
      </c>
      <c r="F123" s="6">
        <v>3196</v>
      </c>
      <c r="G123" s="6">
        <v>941</v>
      </c>
      <c r="H123" s="6">
        <v>376</v>
      </c>
      <c r="I123" s="6">
        <v>35156</v>
      </c>
      <c r="J123" s="6">
        <v>34444</v>
      </c>
      <c r="K123" s="6">
        <v>241</v>
      </c>
      <c r="L123" s="32" t="s">
        <v>39</v>
      </c>
      <c r="O123" s="32" t="s">
        <v>68</v>
      </c>
      <c r="P123" s="24">
        <f t="shared" si="4"/>
        <v>0.1283706906360223</v>
      </c>
      <c r="S123" s="16" t="str">
        <f>IFERROR(_xlfn.XLOOKUP(O123,'Campaign Metadata'!$A$2:$A$5,'Campaign Metadata'!$B$2:$B$5),"")</f>
        <v>2024-12-25</v>
      </c>
      <c r="T123" s="16" t="str">
        <f>IFERROR(_xlfn.XLOOKUP(O123,'Campaign Metadata'!$A$2:$A$5,'Campaign Metadata'!$C$2:$C$5),"")</f>
        <v>2025-01-10</v>
      </c>
      <c r="U123" s="27" t="str">
        <f t="shared" si="5"/>
        <v>Before</v>
      </c>
      <c r="V123" s="7">
        <f t="shared" si="6"/>
        <v>4513</v>
      </c>
    </row>
    <row r="124" spans="1:22" ht="16.5" customHeight="1" x14ac:dyDescent="0.3">
      <c r="A124" s="32" t="s">
        <v>371</v>
      </c>
      <c r="B124" s="32" t="s">
        <v>2</v>
      </c>
      <c r="C124" s="5" t="s">
        <v>372</v>
      </c>
      <c r="D124" s="32" t="s">
        <v>27</v>
      </c>
      <c r="E124" s="32" t="s">
        <v>183</v>
      </c>
      <c r="F124" s="6">
        <v>1407</v>
      </c>
      <c r="G124" s="6">
        <v>400</v>
      </c>
      <c r="H124" s="6">
        <v>351</v>
      </c>
      <c r="I124" s="6">
        <v>16884</v>
      </c>
      <c r="J124" s="6">
        <v>15954</v>
      </c>
      <c r="K124" s="6">
        <v>113</v>
      </c>
      <c r="L124" s="32" t="s">
        <v>39</v>
      </c>
      <c r="O124" s="32" t="s">
        <v>67</v>
      </c>
      <c r="P124" s="24">
        <f t="shared" si="4"/>
        <v>0.12781331438047855</v>
      </c>
      <c r="S124" s="16" t="str">
        <f>IFERROR(_xlfn.XLOOKUP(O124,'Campaign Metadata'!$A$2:$A$5,'Campaign Metadata'!$B$2:$B$5),"")</f>
        <v>2024-06-15</v>
      </c>
      <c r="T124" s="16" t="str">
        <f>IFERROR(_xlfn.XLOOKUP(O124,'Campaign Metadata'!$A$2:$A$5,'Campaign Metadata'!$C$2:$C$5),"")</f>
        <v>2024-07-15</v>
      </c>
      <c r="U124" s="27" t="str">
        <f t="shared" si="5"/>
        <v>Before</v>
      </c>
      <c r="V124" s="7">
        <f t="shared" si="6"/>
        <v>2158</v>
      </c>
    </row>
    <row r="125" spans="1:22" ht="16.5" customHeight="1" x14ac:dyDescent="0.3">
      <c r="A125" s="32" t="s">
        <v>373</v>
      </c>
      <c r="B125" s="32" t="s">
        <v>5</v>
      </c>
      <c r="C125" s="5" t="s">
        <v>124</v>
      </c>
      <c r="D125" s="32" t="s">
        <v>28</v>
      </c>
      <c r="E125" s="32" t="s">
        <v>237</v>
      </c>
      <c r="F125" s="6">
        <v>3138</v>
      </c>
      <c r="G125" s="6">
        <v>123</v>
      </c>
      <c r="H125" s="6">
        <v>291</v>
      </c>
      <c r="I125" s="6">
        <v>28242</v>
      </c>
      <c r="J125" s="6">
        <v>27550</v>
      </c>
      <c r="K125" s="6">
        <v>87</v>
      </c>
      <c r="L125" s="32" t="s">
        <v>39</v>
      </c>
      <c r="O125" s="32" t="s">
        <v>70</v>
      </c>
      <c r="P125" s="24">
        <f t="shared" si="4"/>
        <v>0.12577012959422137</v>
      </c>
      <c r="S125" s="16" t="str">
        <f>IFERROR(_xlfn.XLOOKUP(O125,'Campaign Metadata'!$A$2:$A$5,'Campaign Metadata'!$B$2:$B$5),"")</f>
        <v>2025-03-01</v>
      </c>
      <c r="T125" s="16" t="str">
        <f>IFERROR(_xlfn.XLOOKUP(O125,'Campaign Metadata'!$A$2:$A$5,'Campaign Metadata'!$C$2:$C$5),"")</f>
        <v>2025-03-31</v>
      </c>
      <c r="U125" s="27" t="str">
        <f t="shared" si="5"/>
        <v>Before</v>
      </c>
      <c r="V125" s="7">
        <f t="shared" si="6"/>
        <v>3552</v>
      </c>
    </row>
    <row r="126" spans="1:22" ht="16.5" customHeight="1" x14ac:dyDescent="0.3">
      <c r="A126" s="32" t="s">
        <v>374</v>
      </c>
      <c r="B126" s="32" t="s">
        <v>3</v>
      </c>
      <c r="C126" s="5" t="s">
        <v>375</v>
      </c>
      <c r="D126" s="32" t="s">
        <v>30</v>
      </c>
      <c r="E126" s="32" t="s">
        <v>197</v>
      </c>
      <c r="F126" s="6">
        <v>1813</v>
      </c>
      <c r="G126" s="6">
        <v>623</v>
      </c>
      <c r="H126" s="6">
        <v>72</v>
      </c>
      <c r="I126" s="6">
        <v>19943</v>
      </c>
      <c r="J126" s="6">
        <v>18959</v>
      </c>
      <c r="K126" s="6">
        <v>85</v>
      </c>
      <c r="L126" s="32" t="s">
        <v>36</v>
      </c>
      <c r="O126" s="32" t="s">
        <v>68</v>
      </c>
      <c r="P126" s="24">
        <f t="shared" si="4"/>
        <v>0.12575841147269717</v>
      </c>
      <c r="S126" s="16" t="str">
        <f>IFERROR(_xlfn.XLOOKUP(O126,'Campaign Metadata'!$A$2:$A$5,'Campaign Metadata'!$B$2:$B$5),"")</f>
        <v>2024-12-25</v>
      </c>
      <c r="T126" s="16" t="str">
        <f>IFERROR(_xlfn.XLOOKUP(O126,'Campaign Metadata'!$A$2:$A$5,'Campaign Metadata'!$C$2:$C$5),"")</f>
        <v>2025-01-10</v>
      </c>
      <c r="U126" s="27" t="str">
        <f t="shared" si="5"/>
        <v>Before</v>
      </c>
      <c r="V126" s="7">
        <f t="shared" si="6"/>
        <v>2508</v>
      </c>
    </row>
    <row r="127" spans="1:22" ht="16.5" customHeight="1" x14ac:dyDescent="0.3">
      <c r="A127" s="32" t="s">
        <v>376</v>
      </c>
      <c r="B127" s="32" t="s">
        <v>4</v>
      </c>
      <c r="C127" s="5" t="s">
        <v>297</v>
      </c>
      <c r="D127" s="32" t="s">
        <v>27</v>
      </c>
      <c r="E127" s="32" t="s">
        <v>162</v>
      </c>
      <c r="F127" s="6">
        <v>3092</v>
      </c>
      <c r="G127" s="6">
        <v>106</v>
      </c>
      <c r="H127" s="6">
        <v>291</v>
      </c>
      <c r="I127" s="6">
        <v>27828</v>
      </c>
      <c r="J127" s="6">
        <v>27217</v>
      </c>
      <c r="K127" s="6">
        <v>102</v>
      </c>
      <c r="L127" s="32" t="s">
        <v>37</v>
      </c>
      <c r="P127" s="24">
        <f t="shared" si="4"/>
        <v>0.12537731780940059</v>
      </c>
      <c r="S127" s="16" t="str">
        <f>IFERROR(_xlfn.XLOOKUP(O127,'Campaign Metadata'!$A$2:$A$5,'Campaign Metadata'!$B$2:$B$5),"")</f>
        <v/>
      </c>
      <c r="T127" s="16" t="str">
        <f>IFERROR(_xlfn.XLOOKUP(O127,'Campaign Metadata'!$A$2:$A$5,'Campaign Metadata'!$C$2:$C$5),"")</f>
        <v/>
      </c>
      <c r="U127" s="27" t="str">
        <f t="shared" si="5"/>
        <v>No Campaign</v>
      </c>
      <c r="V127" s="7">
        <f t="shared" si="6"/>
        <v>3489</v>
      </c>
    </row>
    <row r="128" spans="1:22" ht="16.5" customHeight="1" x14ac:dyDescent="0.3">
      <c r="A128" s="32" t="s">
        <v>377</v>
      </c>
      <c r="B128" s="32" t="s">
        <v>5</v>
      </c>
      <c r="C128" s="5" t="s">
        <v>378</v>
      </c>
      <c r="D128" s="32" t="s">
        <v>31</v>
      </c>
      <c r="E128" s="32" t="s">
        <v>207</v>
      </c>
      <c r="F128" s="6">
        <v>3809</v>
      </c>
      <c r="G128" s="6">
        <v>273</v>
      </c>
      <c r="H128" s="6">
        <v>200</v>
      </c>
      <c r="I128" s="6">
        <v>34281</v>
      </c>
      <c r="J128" s="6">
        <v>33534</v>
      </c>
      <c r="K128" s="6">
        <v>83</v>
      </c>
      <c r="L128" s="32" t="s">
        <v>36</v>
      </c>
      <c r="O128" s="32" t="s">
        <v>67</v>
      </c>
      <c r="P128" s="24">
        <f t="shared" si="4"/>
        <v>0.12490884163239112</v>
      </c>
      <c r="S128" s="16" t="str">
        <f>IFERROR(_xlfn.XLOOKUP(O128,'Campaign Metadata'!$A$2:$A$5,'Campaign Metadata'!$B$2:$B$5),"")</f>
        <v>2024-06-15</v>
      </c>
      <c r="T128" s="16" t="str">
        <f>IFERROR(_xlfn.XLOOKUP(O128,'Campaign Metadata'!$A$2:$A$5,'Campaign Metadata'!$C$2:$C$5),"")</f>
        <v>2024-07-15</v>
      </c>
      <c r="U128" s="27" t="str">
        <f t="shared" si="5"/>
        <v>Before</v>
      </c>
      <c r="V128" s="7">
        <f t="shared" si="6"/>
        <v>4282</v>
      </c>
    </row>
    <row r="129" spans="1:22" ht="16.5" customHeight="1" x14ac:dyDescent="0.3">
      <c r="A129" s="32" t="s">
        <v>379</v>
      </c>
      <c r="B129" s="32" t="s">
        <v>2</v>
      </c>
      <c r="C129" s="5" t="s">
        <v>380</v>
      </c>
      <c r="D129" s="32" t="s">
        <v>30</v>
      </c>
      <c r="E129" s="32" t="s">
        <v>209</v>
      </c>
      <c r="F129" s="6">
        <v>2634</v>
      </c>
      <c r="G129" s="6">
        <v>726</v>
      </c>
      <c r="H129" s="6">
        <v>241</v>
      </c>
      <c r="I129" s="6">
        <v>28974</v>
      </c>
      <c r="J129" s="6">
        <v>28102</v>
      </c>
      <c r="K129" s="6">
        <v>277</v>
      </c>
      <c r="L129" s="32" t="s">
        <v>36</v>
      </c>
      <c r="O129" s="32" t="s">
        <v>67</v>
      </c>
      <c r="P129" s="24">
        <f t="shared" si="4"/>
        <v>0.12428384068475185</v>
      </c>
      <c r="S129" s="16" t="str">
        <f>IFERROR(_xlfn.XLOOKUP(O129,'Campaign Metadata'!$A$2:$A$5,'Campaign Metadata'!$B$2:$B$5),"")</f>
        <v>2024-06-15</v>
      </c>
      <c r="T129" s="16" t="str">
        <f>IFERROR(_xlfn.XLOOKUP(O129,'Campaign Metadata'!$A$2:$A$5,'Campaign Metadata'!$C$2:$C$5),"")</f>
        <v>2024-07-15</v>
      </c>
      <c r="U129" s="27" t="str">
        <f t="shared" si="5"/>
        <v>Before</v>
      </c>
      <c r="V129" s="7">
        <f t="shared" si="6"/>
        <v>3601</v>
      </c>
    </row>
    <row r="130" spans="1:22" ht="16.5" customHeight="1" x14ac:dyDescent="0.3">
      <c r="A130" s="32" t="s">
        <v>381</v>
      </c>
      <c r="B130" s="32" t="s">
        <v>2</v>
      </c>
      <c r="C130" s="5" t="s">
        <v>382</v>
      </c>
      <c r="D130" s="32" t="s">
        <v>30</v>
      </c>
      <c r="E130" s="32" t="s">
        <v>209</v>
      </c>
      <c r="F130" s="6">
        <v>880</v>
      </c>
      <c r="G130" s="6">
        <v>297</v>
      </c>
      <c r="H130" s="6">
        <v>345</v>
      </c>
      <c r="I130" s="6">
        <v>12320</v>
      </c>
      <c r="J130" s="6">
        <v>11978</v>
      </c>
      <c r="K130" s="6">
        <v>238</v>
      </c>
      <c r="L130" s="32" t="s">
        <v>39</v>
      </c>
      <c r="M130" s="27" t="s">
        <v>34</v>
      </c>
      <c r="P130" s="24">
        <f t="shared" ref="P130:P193" si="7">(F130+G130+H130)/I130</f>
        <v>0.12353896103896105</v>
      </c>
      <c r="S130" s="16" t="str">
        <f>IFERROR(_xlfn.XLOOKUP(O130,'Campaign Metadata'!$A$2:$A$5,'Campaign Metadata'!$B$2:$B$5),"")</f>
        <v/>
      </c>
      <c r="T130" s="16" t="str">
        <f>IFERROR(_xlfn.XLOOKUP(O130,'Campaign Metadata'!$A$2:$A$5,'Campaign Metadata'!$C$2:$C$5),"")</f>
        <v/>
      </c>
      <c r="U130" s="27" t="str">
        <f t="shared" si="5"/>
        <v>No Campaign</v>
      </c>
      <c r="V130" s="7">
        <f t="shared" si="6"/>
        <v>1522</v>
      </c>
    </row>
    <row r="131" spans="1:22" ht="16.5" customHeight="1" x14ac:dyDescent="0.3">
      <c r="A131" s="32" t="s">
        <v>383</v>
      </c>
      <c r="B131" s="32" t="s">
        <v>5</v>
      </c>
      <c r="C131" s="5" t="s">
        <v>126</v>
      </c>
      <c r="D131" s="32" t="s">
        <v>31</v>
      </c>
      <c r="E131" s="32" t="s">
        <v>207</v>
      </c>
      <c r="F131" s="6">
        <v>3874</v>
      </c>
      <c r="G131" s="6">
        <v>884</v>
      </c>
      <c r="H131" s="6">
        <v>19</v>
      </c>
      <c r="I131" s="6">
        <v>38740</v>
      </c>
      <c r="J131" s="6">
        <v>38552</v>
      </c>
      <c r="K131" s="6">
        <v>219</v>
      </c>
      <c r="L131" s="32" t="s">
        <v>39</v>
      </c>
      <c r="O131" s="32" t="s">
        <v>69</v>
      </c>
      <c r="P131" s="24">
        <f t="shared" si="7"/>
        <v>0.123309241094476</v>
      </c>
      <c r="S131" s="16" t="str">
        <f>IFERROR(_xlfn.XLOOKUP(O131,'Campaign Metadata'!$A$2:$A$5,'Campaign Metadata'!$B$2:$B$5),"")</f>
        <v>2024-10-01</v>
      </c>
      <c r="T131" s="16" t="str">
        <f>IFERROR(_xlfn.XLOOKUP(O131,'Campaign Metadata'!$A$2:$A$5,'Campaign Metadata'!$C$2:$C$5),"")</f>
        <v>2024-10-31</v>
      </c>
      <c r="U131" s="27" t="str">
        <f t="shared" ref="U131:U194" si="8">IF(O131="","No Campaign",IF(AND(C131&gt;=S131,C131&lt;=T131),"During","Before"))</f>
        <v>Before</v>
      </c>
      <c r="V131" s="7">
        <f t="shared" ref="V131:V194" si="9">F131+G131+H131</f>
        <v>4777</v>
      </c>
    </row>
    <row r="132" spans="1:22" ht="16.5" customHeight="1" x14ac:dyDescent="0.3">
      <c r="A132" s="32" t="s">
        <v>384</v>
      </c>
      <c r="B132" s="32" t="s">
        <v>3</v>
      </c>
      <c r="C132" s="5" t="s">
        <v>94</v>
      </c>
      <c r="D132" s="32" t="s">
        <v>28</v>
      </c>
      <c r="E132" s="32" t="s">
        <v>148</v>
      </c>
      <c r="F132" s="6">
        <v>3523</v>
      </c>
      <c r="G132" s="6">
        <v>753</v>
      </c>
      <c r="H132" s="6">
        <v>482</v>
      </c>
      <c r="I132" s="6">
        <v>38753</v>
      </c>
      <c r="J132" s="6">
        <v>38579</v>
      </c>
      <c r="K132" s="6">
        <v>270</v>
      </c>
      <c r="L132" s="32" t="s">
        <v>36</v>
      </c>
      <c r="O132" s="32" t="s">
        <v>69</v>
      </c>
      <c r="P132" s="24">
        <f t="shared" si="7"/>
        <v>0.12277759141227776</v>
      </c>
      <c r="S132" s="16" t="str">
        <f>IFERROR(_xlfn.XLOOKUP(O132,'Campaign Metadata'!$A$2:$A$5,'Campaign Metadata'!$B$2:$B$5),"")</f>
        <v>2024-10-01</v>
      </c>
      <c r="T132" s="16" t="str">
        <f>IFERROR(_xlfn.XLOOKUP(O132,'Campaign Metadata'!$A$2:$A$5,'Campaign Metadata'!$C$2:$C$5),"")</f>
        <v>2024-10-31</v>
      </c>
      <c r="U132" s="27" t="str">
        <f t="shared" si="8"/>
        <v>Before</v>
      </c>
      <c r="V132" s="7">
        <f t="shared" si="9"/>
        <v>4758</v>
      </c>
    </row>
    <row r="133" spans="1:22" ht="16.5" customHeight="1" x14ac:dyDescent="0.3">
      <c r="A133" s="32" t="s">
        <v>385</v>
      </c>
      <c r="B133" s="32" t="s">
        <v>2</v>
      </c>
      <c r="C133" s="5" t="s">
        <v>386</v>
      </c>
      <c r="D133" s="32" t="s">
        <v>28</v>
      </c>
      <c r="E133" s="32" t="s">
        <v>278</v>
      </c>
      <c r="F133" s="6">
        <v>4134</v>
      </c>
      <c r="G133" s="6">
        <v>824</v>
      </c>
      <c r="H133" s="6">
        <v>99</v>
      </c>
      <c r="I133" s="6">
        <v>41340</v>
      </c>
      <c r="J133" s="6">
        <v>41050</v>
      </c>
      <c r="K133" s="6">
        <v>177</v>
      </c>
      <c r="L133" s="32" t="s">
        <v>36</v>
      </c>
      <c r="O133" s="32" t="s">
        <v>67</v>
      </c>
      <c r="P133" s="24">
        <f t="shared" si="7"/>
        <v>0.12232704402515723</v>
      </c>
      <c r="S133" s="16" t="str">
        <f>IFERROR(_xlfn.XLOOKUP(O133,'Campaign Metadata'!$A$2:$A$5,'Campaign Metadata'!$B$2:$B$5),"")</f>
        <v>2024-06-15</v>
      </c>
      <c r="T133" s="16" t="str">
        <f>IFERROR(_xlfn.XLOOKUP(O133,'Campaign Metadata'!$A$2:$A$5,'Campaign Metadata'!$C$2:$C$5),"")</f>
        <v>2024-07-15</v>
      </c>
      <c r="U133" s="27" t="str">
        <f t="shared" si="8"/>
        <v>Before</v>
      </c>
      <c r="V133" s="7">
        <f t="shared" si="9"/>
        <v>5057</v>
      </c>
    </row>
    <row r="134" spans="1:22" ht="16.5" customHeight="1" x14ac:dyDescent="0.3">
      <c r="A134" s="32" t="s">
        <v>387</v>
      </c>
      <c r="B134" s="32" t="s">
        <v>3</v>
      </c>
      <c r="C134" s="5" t="s">
        <v>388</v>
      </c>
      <c r="D134" s="32" t="s">
        <v>28</v>
      </c>
      <c r="E134" s="32" t="s">
        <v>148</v>
      </c>
      <c r="F134" s="6">
        <v>1674</v>
      </c>
      <c r="G134" s="6">
        <v>929</v>
      </c>
      <c r="H134" s="6">
        <v>37</v>
      </c>
      <c r="I134" s="6">
        <v>21762</v>
      </c>
      <c r="J134" s="6">
        <v>20998</v>
      </c>
      <c r="K134" s="6">
        <v>255</v>
      </c>
      <c r="L134" s="32" t="s">
        <v>39</v>
      </c>
      <c r="O134" s="32" t="s">
        <v>70</v>
      </c>
      <c r="P134" s="24">
        <f t="shared" si="7"/>
        <v>0.12131237937689551</v>
      </c>
      <c r="S134" s="16" t="str">
        <f>IFERROR(_xlfn.XLOOKUP(O134,'Campaign Metadata'!$A$2:$A$5,'Campaign Metadata'!$B$2:$B$5),"")</f>
        <v>2025-03-01</v>
      </c>
      <c r="T134" s="16" t="str">
        <f>IFERROR(_xlfn.XLOOKUP(O134,'Campaign Metadata'!$A$2:$A$5,'Campaign Metadata'!$C$2:$C$5),"")</f>
        <v>2025-03-31</v>
      </c>
      <c r="U134" s="27" t="str">
        <f t="shared" si="8"/>
        <v>Before</v>
      </c>
      <c r="V134" s="7">
        <f t="shared" si="9"/>
        <v>2640</v>
      </c>
    </row>
    <row r="135" spans="1:22" ht="16.5" customHeight="1" x14ac:dyDescent="0.3">
      <c r="A135" s="32" t="s">
        <v>389</v>
      </c>
      <c r="B135" s="32" t="s">
        <v>2</v>
      </c>
      <c r="C135" s="5" t="s">
        <v>390</v>
      </c>
      <c r="D135" s="32" t="s">
        <v>29</v>
      </c>
      <c r="E135" s="32" t="s">
        <v>204</v>
      </c>
      <c r="F135" s="6">
        <v>3767</v>
      </c>
      <c r="G135" s="6">
        <v>514</v>
      </c>
      <c r="H135" s="6">
        <v>238</v>
      </c>
      <c r="I135" s="6">
        <v>37670</v>
      </c>
      <c r="J135" s="6">
        <v>36807</v>
      </c>
      <c r="K135" s="6">
        <v>226</v>
      </c>
      <c r="L135" s="32" t="s">
        <v>37</v>
      </c>
      <c r="O135" s="32" t="s">
        <v>70</v>
      </c>
      <c r="P135" s="24">
        <f t="shared" si="7"/>
        <v>0.11996283514733209</v>
      </c>
      <c r="S135" s="16" t="str">
        <f>IFERROR(_xlfn.XLOOKUP(O135,'Campaign Metadata'!$A$2:$A$5,'Campaign Metadata'!$B$2:$B$5),"")</f>
        <v>2025-03-01</v>
      </c>
      <c r="T135" s="16" t="str">
        <f>IFERROR(_xlfn.XLOOKUP(O135,'Campaign Metadata'!$A$2:$A$5,'Campaign Metadata'!$C$2:$C$5),"")</f>
        <v>2025-03-31</v>
      </c>
      <c r="U135" s="27" t="str">
        <f t="shared" si="8"/>
        <v>Before</v>
      </c>
      <c r="V135" s="7">
        <f t="shared" si="9"/>
        <v>4519</v>
      </c>
    </row>
    <row r="136" spans="1:22" ht="16.5" customHeight="1" x14ac:dyDescent="0.3">
      <c r="A136" s="32" t="s">
        <v>391</v>
      </c>
      <c r="B136" s="32" t="s">
        <v>5</v>
      </c>
      <c r="C136" s="5" t="s">
        <v>99</v>
      </c>
      <c r="D136" s="32" t="s">
        <v>26</v>
      </c>
      <c r="E136" s="32" t="s">
        <v>165</v>
      </c>
      <c r="F136" s="6">
        <v>2551</v>
      </c>
      <c r="G136" s="6">
        <v>915</v>
      </c>
      <c r="H136" s="6">
        <v>205</v>
      </c>
      <c r="I136" s="6">
        <v>30612</v>
      </c>
      <c r="J136" s="6">
        <v>30360</v>
      </c>
      <c r="K136" s="6">
        <v>227</v>
      </c>
      <c r="L136" s="32" t="s">
        <v>39</v>
      </c>
      <c r="O136" s="32" t="s">
        <v>69</v>
      </c>
      <c r="P136" s="24">
        <f t="shared" si="7"/>
        <v>0.1199202926956749</v>
      </c>
      <c r="S136" s="16" t="str">
        <f>IFERROR(_xlfn.XLOOKUP(O136,'Campaign Metadata'!$A$2:$A$5,'Campaign Metadata'!$B$2:$B$5),"")</f>
        <v>2024-10-01</v>
      </c>
      <c r="T136" s="16" t="str">
        <f>IFERROR(_xlfn.XLOOKUP(O136,'Campaign Metadata'!$A$2:$A$5,'Campaign Metadata'!$C$2:$C$5),"")</f>
        <v>2024-10-31</v>
      </c>
      <c r="U136" s="27" t="str">
        <f t="shared" si="8"/>
        <v>Before</v>
      </c>
      <c r="V136" s="7">
        <f t="shared" si="9"/>
        <v>3671</v>
      </c>
    </row>
    <row r="137" spans="1:22" ht="16.5" customHeight="1" x14ac:dyDescent="0.3">
      <c r="A137" s="32" t="s">
        <v>392</v>
      </c>
      <c r="B137" s="32" t="s">
        <v>3</v>
      </c>
      <c r="C137" s="5" t="s">
        <v>393</v>
      </c>
      <c r="D137" s="32" t="s">
        <v>29</v>
      </c>
      <c r="E137" s="32" t="s">
        <v>145</v>
      </c>
      <c r="F137" s="6">
        <v>1881</v>
      </c>
      <c r="G137" s="6">
        <v>501</v>
      </c>
      <c r="H137" s="6">
        <v>99</v>
      </c>
      <c r="I137" s="6">
        <v>20691</v>
      </c>
      <c r="J137" s="6">
        <v>19987</v>
      </c>
      <c r="K137" s="6">
        <v>289</v>
      </c>
      <c r="L137" s="32" t="s">
        <v>36</v>
      </c>
      <c r="P137" s="24">
        <f t="shared" si="7"/>
        <v>0.11990720603160794</v>
      </c>
      <c r="S137" s="16" t="str">
        <f>IFERROR(_xlfn.XLOOKUP(O137,'Campaign Metadata'!$A$2:$A$5,'Campaign Metadata'!$B$2:$B$5),"")</f>
        <v/>
      </c>
      <c r="T137" s="16" t="str">
        <f>IFERROR(_xlfn.XLOOKUP(O137,'Campaign Metadata'!$A$2:$A$5,'Campaign Metadata'!$C$2:$C$5),"")</f>
        <v/>
      </c>
      <c r="U137" s="27" t="str">
        <f t="shared" si="8"/>
        <v>No Campaign</v>
      </c>
      <c r="V137" s="7">
        <f t="shared" si="9"/>
        <v>2481</v>
      </c>
    </row>
    <row r="138" spans="1:22" ht="16.5" customHeight="1" x14ac:dyDescent="0.3">
      <c r="A138" s="32" t="s">
        <v>394</v>
      </c>
      <c r="B138" s="32" t="s">
        <v>2</v>
      </c>
      <c r="C138" s="5" t="s">
        <v>395</v>
      </c>
      <c r="D138" s="32" t="s">
        <v>28</v>
      </c>
      <c r="E138" s="32" t="s">
        <v>278</v>
      </c>
      <c r="F138" s="6">
        <v>3960</v>
      </c>
      <c r="G138" s="6">
        <v>266</v>
      </c>
      <c r="H138" s="6">
        <v>8</v>
      </c>
      <c r="I138" s="6">
        <v>35640</v>
      </c>
      <c r="J138" s="6">
        <v>34850</v>
      </c>
      <c r="K138" s="6">
        <v>208</v>
      </c>
      <c r="L138" s="32" t="s">
        <v>37</v>
      </c>
      <c r="M138" s="27" t="s">
        <v>36</v>
      </c>
      <c r="N138" s="27" t="s">
        <v>35</v>
      </c>
      <c r="P138" s="24">
        <f t="shared" si="7"/>
        <v>0.11879910213243547</v>
      </c>
      <c r="S138" s="16" t="str">
        <f>IFERROR(_xlfn.XLOOKUP(O138,'Campaign Metadata'!$A$2:$A$5,'Campaign Metadata'!$B$2:$B$5),"")</f>
        <v/>
      </c>
      <c r="T138" s="16" t="str">
        <f>IFERROR(_xlfn.XLOOKUP(O138,'Campaign Metadata'!$A$2:$A$5,'Campaign Metadata'!$C$2:$C$5),"")</f>
        <v/>
      </c>
      <c r="U138" s="27" t="str">
        <f t="shared" si="8"/>
        <v>No Campaign</v>
      </c>
      <c r="V138" s="7">
        <f t="shared" si="9"/>
        <v>4234</v>
      </c>
    </row>
    <row r="139" spans="1:22" ht="16.5" customHeight="1" x14ac:dyDescent="0.3">
      <c r="A139" s="32" t="s">
        <v>396</v>
      </c>
      <c r="B139" s="32" t="s">
        <v>3</v>
      </c>
      <c r="C139" s="5" t="s">
        <v>397</v>
      </c>
      <c r="D139" s="32" t="s">
        <v>31</v>
      </c>
      <c r="E139" s="32" t="s">
        <v>154</v>
      </c>
      <c r="F139" s="6">
        <v>3775</v>
      </c>
      <c r="G139" s="6">
        <v>16</v>
      </c>
      <c r="H139" s="6">
        <v>239</v>
      </c>
      <c r="I139" s="6">
        <v>33975</v>
      </c>
      <c r="J139" s="6">
        <v>33310</v>
      </c>
      <c r="K139" s="6">
        <v>271</v>
      </c>
      <c r="L139" s="32" t="s">
        <v>37</v>
      </c>
      <c r="O139" s="32" t="s">
        <v>69</v>
      </c>
      <c r="P139" s="24">
        <f t="shared" si="7"/>
        <v>0.11861662987490802</v>
      </c>
      <c r="S139" s="16" t="str">
        <f>IFERROR(_xlfn.XLOOKUP(O139,'Campaign Metadata'!$A$2:$A$5,'Campaign Metadata'!$B$2:$B$5),"")</f>
        <v>2024-10-01</v>
      </c>
      <c r="T139" s="16" t="str">
        <f>IFERROR(_xlfn.XLOOKUP(O139,'Campaign Metadata'!$A$2:$A$5,'Campaign Metadata'!$C$2:$C$5),"")</f>
        <v>2024-10-31</v>
      </c>
      <c r="U139" s="27" t="str">
        <f t="shared" si="8"/>
        <v>Before</v>
      </c>
      <c r="V139" s="7">
        <f t="shared" si="9"/>
        <v>4030</v>
      </c>
    </row>
    <row r="140" spans="1:22" ht="16.5" customHeight="1" x14ac:dyDescent="0.3">
      <c r="A140" s="32" t="s">
        <v>398</v>
      </c>
      <c r="B140" s="32" t="s">
        <v>4</v>
      </c>
      <c r="C140" s="5" t="s">
        <v>108</v>
      </c>
      <c r="D140" s="32" t="s">
        <v>27</v>
      </c>
      <c r="E140" s="32" t="s">
        <v>162</v>
      </c>
      <c r="F140" s="6">
        <v>1606</v>
      </c>
      <c r="G140" s="6">
        <v>451</v>
      </c>
      <c r="H140" s="6">
        <v>405</v>
      </c>
      <c r="I140" s="6">
        <v>20878</v>
      </c>
      <c r="J140" s="6">
        <v>20190</v>
      </c>
      <c r="K140" s="6">
        <v>219</v>
      </c>
      <c r="L140" s="32" t="s">
        <v>36</v>
      </c>
      <c r="O140" s="32" t="s">
        <v>70</v>
      </c>
      <c r="P140" s="24">
        <f t="shared" si="7"/>
        <v>0.11792317271769326</v>
      </c>
      <c r="S140" s="16" t="str">
        <f>IFERROR(_xlfn.XLOOKUP(O140,'Campaign Metadata'!$A$2:$A$5,'Campaign Metadata'!$B$2:$B$5),"")</f>
        <v>2025-03-01</v>
      </c>
      <c r="T140" s="16" t="str">
        <f>IFERROR(_xlfn.XLOOKUP(O140,'Campaign Metadata'!$A$2:$A$5,'Campaign Metadata'!$C$2:$C$5),"")</f>
        <v>2025-03-31</v>
      </c>
      <c r="U140" s="27" t="str">
        <f t="shared" si="8"/>
        <v>Before</v>
      </c>
      <c r="V140" s="7">
        <f t="shared" si="9"/>
        <v>2462</v>
      </c>
    </row>
    <row r="141" spans="1:22" ht="16.5" customHeight="1" x14ac:dyDescent="0.3">
      <c r="A141" s="32" t="s">
        <v>399</v>
      </c>
      <c r="B141" s="32" t="s">
        <v>3</v>
      </c>
      <c r="C141" s="5" t="s">
        <v>340</v>
      </c>
      <c r="D141" s="32" t="s">
        <v>26</v>
      </c>
      <c r="E141" s="32" t="s">
        <v>186</v>
      </c>
      <c r="F141" s="6">
        <v>1377</v>
      </c>
      <c r="G141" s="6">
        <v>796</v>
      </c>
      <c r="H141" s="6">
        <v>387</v>
      </c>
      <c r="I141" s="6">
        <v>22032</v>
      </c>
      <c r="J141" s="6">
        <v>21869</v>
      </c>
      <c r="K141" s="6">
        <v>189</v>
      </c>
      <c r="L141" s="32" t="s">
        <v>37</v>
      </c>
      <c r="P141" s="24">
        <f t="shared" si="7"/>
        <v>0.11619462599854757</v>
      </c>
      <c r="S141" s="16" t="str">
        <f>IFERROR(_xlfn.XLOOKUP(O141,'Campaign Metadata'!$A$2:$A$5,'Campaign Metadata'!$B$2:$B$5),"")</f>
        <v/>
      </c>
      <c r="T141" s="16" t="str">
        <f>IFERROR(_xlfn.XLOOKUP(O141,'Campaign Metadata'!$A$2:$A$5,'Campaign Metadata'!$C$2:$C$5),"")</f>
        <v/>
      </c>
      <c r="U141" s="27" t="str">
        <f t="shared" si="8"/>
        <v>No Campaign</v>
      </c>
      <c r="V141" s="7">
        <f t="shared" si="9"/>
        <v>2560</v>
      </c>
    </row>
    <row r="142" spans="1:22" ht="16.5" customHeight="1" x14ac:dyDescent="0.3">
      <c r="A142" s="32" t="s">
        <v>400</v>
      </c>
      <c r="B142" s="32" t="s">
        <v>3</v>
      </c>
      <c r="C142" s="5" t="s">
        <v>203</v>
      </c>
      <c r="D142" s="32" t="s">
        <v>29</v>
      </c>
      <c r="E142" s="32" t="s">
        <v>145</v>
      </c>
      <c r="F142" s="6">
        <v>1792</v>
      </c>
      <c r="G142" s="6">
        <v>614</v>
      </c>
      <c r="H142" s="6">
        <v>497</v>
      </c>
      <c r="I142" s="6">
        <v>25088</v>
      </c>
      <c r="J142" s="6">
        <v>24675</v>
      </c>
      <c r="K142" s="6">
        <v>65</v>
      </c>
      <c r="L142" s="32" t="s">
        <v>37</v>
      </c>
      <c r="O142" s="32" t="s">
        <v>70</v>
      </c>
      <c r="P142" s="24">
        <f t="shared" si="7"/>
        <v>0.11571269132653061</v>
      </c>
      <c r="S142" s="16" t="str">
        <f>IFERROR(_xlfn.XLOOKUP(O142,'Campaign Metadata'!$A$2:$A$5,'Campaign Metadata'!$B$2:$B$5),"")</f>
        <v>2025-03-01</v>
      </c>
      <c r="T142" s="16" t="str">
        <f>IFERROR(_xlfn.XLOOKUP(O142,'Campaign Metadata'!$A$2:$A$5,'Campaign Metadata'!$C$2:$C$5),"")</f>
        <v>2025-03-31</v>
      </c>
      <c r="U142" s="27" t="str">
        <f t="shared" si="8"/>
        <v>Before</v>
      </c>
      <c r="V142" s="7">
        <f t="shared" si="9"/>
        <v>2903</v>
      </c>
    </row>
    <row r="143" spans="1:22" ht="16.5" customHeight="1" x14ac:dyDescent="0.3">
      <c r="A143" s="32" t="s">
        <v>401</v>
      </c>
      <c r="B143" s="32" t="s">
        <v>4</v>
      </c>
      <c r="C143" s="5" t="s">
        <v>167</v>
      </c>
      <c r="D143" s="32" t="s">
        <v>30</v>
      </c>
      <c r="E143" s="32" t="s">
        <v>221</v>
      </c>
      <c r="F143" s="6">
        <v>4671</v>
      </c>
      <c r="G143" s="6">
        <v>876</v>
      </c>
      <c r="H143" s="6">
        <v>366</v>
      </c>
      <c r="I143" s="6">
        <v>51381</v>
      </c>
      <c r="J143" s="6">
        <v>50565</v>
      </c>
      <c r="K143" s="6">
        <v>245</v>
      </c>
      <c r="L143" s="32" t="s">
        <v>39</v>
      </c>
      <c r="O143" s="32" t="s">
        <v>70</v>
      </c>
      <c r="P143" s="24">
        <f t="shared" si="7"/>
        <v>0.11508145034156594</v>
      </c>
      <c r="S143" s="16" t="str">
        <f>IFERROR(_xlfn.XLOOKUP(O143,'Campaign Metadata'!$A$2:$A$5,'Campaign Metadata'!$B$2:$B$5),"")</f>
        <v>2025-03-01</v>
      </c>
      <c r="T143" s="16" t="str">
        <f>IFERROR(_xlfn.XLOOKUP(O143,'Campaign Metadata'!$A$2:$A$5,'Campaign Metadata'!$C$2:$C$5),"")</f>
        <v>2025-03-31</v>
      </c>
      <c r="U143" s="27" t="str">
        <f t="shared" si="8"/>
        <v>Before</v>
      </c>
      <c r="V143" s="7">
        <f t="shared" si="9"/>
        <v>5913</v>
      </c>
    </row>
    <row r="144" spans="1:22" ht="16.5" customHeight="1" x14ac:dyDescent="0.3">
      <c r="A144" s="32" t="s">
        <v>402</v>
      </c>
      <c r="B144" s="32" t="s">
        <v>5</v>
      </c>
      <c r="C144" s="5" t="s">
        <v>403</v>
      </c>
      <c r="D144" s="32" t="s">
        <v>27</v>
      </c>
      <c r="E144" s="32" t="s">
        <v>168</v>
      </c>
      <c r="F144" s="6">
        <v>2283</v>
      </c>
      <c r="G144" s="6">
        <v>210</v>
      </c>
      <c r="H144" s="6">
        <v>130</v>
      </c>
      <c r="I144" s="6">
        <v>22830</v>
      </c>
      <c r="J144" s="6">
        <v>22617</v>
      </c>
      <c r="K144" s="6">
        <v>143</v>
      </c>
      <c r="L144" s="32" t="s">
        <v>37</v>
      </c>
      <c r="O144" s="32" t="s">
        <v>69</v>
      </c>
      <c r="P144" s="24">
        <f t="shared" si="7"/>
        <v>0.11489268506351293</v>
      </c>
      <c r="S144" s="16" t="str">
        <f>IFERROR(_xlfn.XLOOKUP(O144,'Campaign Metadata'!$A$2:$A$5,'Campaign Metadata'!$B$2:$B$5),"")</f>
        <v>2024-10-01</v>
      </c>
      <c r="T144" s="16" t="str">
        <f>IFERROR(_xlfn.XLOOKUP(O144,'Campaign Metadata'!$A$2:$A$5,'Campaign Metadata'!$C$2:$C$5),"")</f>
        <v>2024-10-31</v>
      </c>
      <c r="U144" s="27" t="str">
        <f t="shared" si="8"/>
        <v>Before</v>
      </c>
      <c r="V144" s="7">
        <f t="shared" si="9"/>
        <v>2623</v>
      </c>
    </row>
    <row r="145" spans="1:22" ht="16.5" customHeight="1" x14ac:dyDescent="0.3">
      <c r="A145" s="32" t="s">
        <v>404</v>
      </c>
      <c r="B145" s="32" t="s">
        <v>4</v>
      </c>
      <c r="C145" s="5" t="s">
        <v>405</v>
      </c>
      <c r="D145" s="32" t="s">
        <v>30</v>
      </c>
      <c r="E145" s="32" t="s">
        <v>221</v>
      </c>
      <c r="F145" s="6">
        <v>571</v>
      </c>
      <c r="G145" s="6">
        <v>190</v>
      </c>
      <c r="H145" s="6">
        <v>352</v>
      </c>
      <c r="I145" s="6">
        <v>9707</v>
      </c>
      <c r="J145" s="6">
        <v>9418</v>
      </c>
      <c r="K145" s="6">
        <v>231</v>
      </c>
      <c r="L145" s="32" t="s">
        <v>39</v>
      </c>
      <c r="O145" s="32" t="s">
        <v>70</v>
      </c>
      <c r="P145" s="24">
        <f t="shared" si="7"/>
        <v>0.11465952405480581</v>
      </c>
      <c r="S145" s="16" t="str">
        <f>IFERROR(_xlfn.XLOOKUP(O145,'Campaign Metadata'!$A$2:$A$5,'Campaign Metadata'!$B$2:$B$5),"")</f>
        <v>2025-03-01</v>
      </c>
      <c r="T145" s="16" t="str">
        <f>IFERROR(_xlfn.XLOOKUP(O145,'Campaign Metadata'!$A$2:$A$5,'Campaign Metadata'!$C$2:$C$5),"")</f>
        <v>2025-03-31</v>
      </c>
      <c r="U145" s="27" t="str">
        <f t="shared" si="8"/>
        <v>Before</v>
      </c>
      <c r="V145" s="7">
        <f t="shared" si="9"/>
        <v>1113</v>
      </c>
    </row>
    <row r="146" spans="1:22" ht="16.5" customHeight="1" x14ac:dyDescent="0.3">
      <c r="A146" s="32" t="s">
        <v>406</v>
      </c>
      <c r="B146" s="32" t="s">
        <v>4</v>
      </c>
      <c r="C146" s="5" t="s">
        <v>164</v>
      </c>
      <c r="D146" s="32" t="s">
        <v>26</v>
      </c>
      <c r="E146" s="32" t="s">
        <v>159</v>
      </c>
      <c r="F146" s="6">
        <v>4419</v>
      </c>
      <c r="G146" s="6">
        <v>236</v>
      </c>
      <c r="H146" s="6">
        <v>369</v>
      </c>
      <c r="I146" s="6">
        <v>44190</v>
      </c>
      <c r="J146" s="6">
        <v>43582</v>
      </c>
      <c r="K146" s="6">
        <v>10</v>
      </c>
      <c r="L146" s="32" t="s">
        <v>36</v>
      </c>
      <c r="O146" s="32" t="s">
        <v>67</v>
      </c>
      <c r="P146" s="24">
        <f t="shared" si="7"/>
        <v>0.11369088028965829</v>
      </c>
      <c r="S146" s="16" t="str">
        <f>IFERROR(_xlfn.XLOOKUP(O146,'Campaign Metadata'!$A$2:$A$5,'Campaign Metadata'!$B$2:$B$5),"")</f>
        <v>2024-06-15</v>
      </c>
      <c r="T146" s="16" t="str">
        <f>IFERROR(_xlfn.XLOOKUP(O146,'Campaign Metadata'!$A$2:$A$5,'Campaign Metadata'!$C$2:$C$5),"")</f>
        <v>2024-07-15</v>
      </c>
      <c r="U146" s="27" t="str">
        <f t="shared" si="8"/>
        <v>Before</v>
      </c>
      <c r="V146" s="7">
        <f t="shared" si="9"/>
        <v>5024</v>
      </c>
    </row>
    <row r="147" spans="1:22" ht="16.5" customHeight="1" x14ac:dyDescent="0.3">
      <c r="A147" s="32" t="s">
        <v>407</v>
      </c>
      <c r="B147" s="32" t="s">
        <v>3</v>
      </c>
      <c r="C147" s="5" t="s">
        <v>408</v>
      </c>
      <c r="D147" s="32" t="s">
        <v>29</v>
      </c>
      <c r="E147" s="32" t="s">
        <v>145</v>
      </c>
      <c r="F147" s="6">
        <v>1762</v>
      </c>
      <c r="G147" s="6">
        <v>405</v>
      </c>
      <c r="H147" s="6">
        <v>423</v>
      </c>
      <c r="I147" s="6">
        <v>22906</v>
      </c>
      <c r="J147" s="6">
        <v>21925</v>
      </c>
      <c r="K147" s="6">
        <v>25</v>
      </c>
      <c r="L147" s="32" t="s">
        <v>39</v>
      </c>
      <c r="O147" s="32" t="s">
        <v>67</v>
      </c>
      <c r="P147" s="24">
        <f t="shared" si="7"/>
        <v>0.11307081114118571</v>
      </c>
      <c r="S147" s="16" t="str">
        <f>IFERROR(_xlfn.XLOOKUP(O147,'Campaign Metadata'!$A$2:$A$5,'Campaign Metadata'!$B$2:$B$5),"")</f>
        <v>2024-06-15</v>
      </c>
      <c r="T147" s="16" t="str">
        <f>IFERROR(_xlfn.XLOOKUP(O147,'Campaign Metadata'!$A$2:$A$5,'Campaign Metadata'!$C$2:$C$5),"")</f>
        <v>2024-07-15</v>
      </c>
      <c r="U147" s="27" t="str">
        <f t="shared" si="8"/>
        <v>Before</v>
      </c>
      <c r="V147" s="7">
        <f t="shared" si="9"/>
        <v>2590</v>
      </c>
    </row>
    <row r="148" spans="1:22" ht="16.5" customHeight="1" x14ac:dyDescent="0.3">
      <c r="A148" s="32" t="s">
        <v>409</v>
      </c>
      <c r="B148" s="32" t="s">
        <v>4</v>
      </c>
      <c r="C148" s="5" t="s">
        <v>87</v>
      </c>
      <c r="D148" s="32" t="s">
        <v>29</v>
      </c>
      <c r="E148" s="32" t="s">
        <v>151</v>
      </c>
      <c r="F148" s="6">
        <v>1575</v>
      </c>
      <c r="G148" s="6">
        <v>771</v>
      </c>
      <c r="H148" s="6">
        <v>486</v>
      </c>
      <c r="I148" s="6">
        <v>25200</v>
      </c>
      <c r="J148" s="6">
        <v>24826</v>
      </c>
      <c r="K148" s="6">
        <v>17</v>
      </c>
      <c r="L148" s="32" t="s">
        <v>37</v>
      </c>
      <c r="O148" s="32" t="s">
        <v>70</v>
      </c>
      <c r="P148" s="24">
        <f t="shared" si="7"/>
        <v>0.11238095238095239</v>
      </c>
      <c r="S148" s="16" t="str">
        <f>IFERROR(_xlfn.XLOOKUP(O148,'Campaign Metadata'!$A$2:$A$5,'Campaign Metadata'!$B$2:$B$5),"")</f>
        <v>2025-03-01</v>
      </c>
      <c r="T148" s="16" t="str">
        <f>IFERROR(_xlfn.XLOOKUP(O148,'Campaign Metadata'!$A$2:$A$5,'Campaign Metadata'!$C$2:$C$5),"")</f>
        <v>2025-03-31</v>
      </c>
      <c r="U148" s="27" t="str">
        <f t="shared" si="8"/>
        <v>Before</v>
      </c>
      <c r="V148" s="7">
        <f t="shared" si="9"/>
        <v>2832</v>
      </c>
    </row>
    <row r="149" spans="1:22" ht="16.5" customHeight="1" x14ac:dyDescent="0.3">
      <c r="A149" s="32" t="s">
        <v>410</v>
      </c>
      <c r="B149" s="32" t="s">
        <v>3</v>
      </c>
      <c r="C149" s="5" t="s">
        <v>411</v>
      </c>
      <c r="D149" s="32" t="s">
        <v>30</v>
      </c>
      <c r="E149" s="32" t="s">
        <v>197</v>
      </c>
      <c r="F149" s="6">
        <v>246</v>
      </c>
      <c r="G149" s="6">
        <v>149</v>
      </c>
      <c r="H149" s="6">
        <v>130</v>
      </c>
      <c r="I149" s="6">
        <v>4674</v>
      </c>
      <c r="J149" s="6">
        <v>4390</v>
      </c>
      <c r="K149" s="6">
        <v>217</v>
      </c>
      <c r="L149" s="32" t="s">
        <v>37</v>
      </c>
      <c r="O149" s="32" t="s">
        <v>68</v>
      </c>
      <c r="P149" s="24">
        <f t="shared" si="7"/>
        <v>0.11232349165596919</v>
      </c>
      <c r="S149" s="16" t="str">
        <f>IFERROR(_xlfn.XLOOKUP(O149,'Campaign Metadata'!$A$2:$A$5,'Campaign Metadata'!$B$2:$B$5),"")</f>
        <v>2024-12-25</v>
      </c>
      <c r="T149" s="16" t="str">
        <f>IFERROR(_xlfn.XLOOKUP(O149,'Campaign Metadata'!$A$2:$A$5,'Campaign Metadata'!$C$2:$C$5),"")</f>
        <v>2025-01-10</v>
      </c>
      <c r="U149" s="27" t="str">
        <f t="shared" si="8"/>
        <v>Before</v>
      </c>
      <c r="V149" s="7">
        <f t="shared" si="9"/>
        <v>525</v>
      </c>
    </row>
    <row r="150" spans="1:22" ht="16.5" customHeight="1" x14ac:dyDescent="0.3">
      <c r="A150" s="32" t="s">
        <v>412</v>
      </c>
      <c r="B150" s="32" t="s">
        <v>2</v>
      </c>
      <c r="C150" s="5" t="s">
        <v>413</v>
      </c>
      <c r="D150" s="32" t="s">
        <v>28</v>
      </c>
      <c r="E150" s="32" t="s">
        <v>278</v>
      </c>
      <c r="F150" s="6">
        <v>1814</v>
      </c>
      <c r="G150" s="6">
        <v>653</v>
      </c>
      <c r="H150" s="6">
        <v>363</v>
      </c>
      <c r="I150" s="6">
        <v>25396</v>
      </c>
      <c r="J150" s="6">
        <v>25286</v>
      </c>
      <c r="K150" s="6">
        <v>39</v>
      </c>
      <c r="L150" s="32" t="s">
        <v>37</v>
      </c>
      <c r="M150" s="27" t="s">
        <v>38</v>
      </c>
      <c r="O150" s="32" t="s">
        <v>67</v>
      </c>
      <c r="P150" s="24">
        <f t="shared" si="7"/>
        <v>0.11143487163332809</v>
      </c>
      <c r="S150" s="16" t="str">
        <f>IFERROR(_xlfn.XLOOKUP(O150,'Campaign Metadata'!$A$2:$A$5,'Campaign Metadata'!$B$2:$B$5),"")</f>
        <v>2024-06-15</v>
      </c>
      <c r="T150" s="16" t="str">
        <f>IFERROR(_xlfn.XLOOKUP(O150,'Campaign Metadata'!$A$2:$A$5,'Campaign Metadata'!$C$2:$C$5),"")</f>
        <v>2024-07-15</v>
      </c>
      <c r="U150" s="27" t="str">
        <f t="shared" si="8"/>
        <v>Before</v>
      </c>
      <c r="V150" s="7">
        <f t="shared" si="9"/>
        <v>2830</v>
      </c>
    </row>
    <row r="151" spans="1:22" ht="16.5" customHeight="1" x14ac:dyDescent="0.3">
      <c r="A151" s="32" t="s">
        <v>414</v>
      </c>
      <c r="B151" s="32" t="s">
        <v>4</v>
      </c>
      <c r="C151" s="5" t="s">
        <v>415</v>
      </c>
      <c r="D151" s="32" t="s">
        <v>30</v>
      </c>
      <c r="E151" s="32" t="s">
        <v>221</v>
      </c>
      <c r="F151" s="6">
        <v>4516</v>
      </c>
      <c r="G151" s="6">
        <v>836</v>
      </c>
      <c r="H151" s="6">
        <v>169</v>
      </c>
      <c r="I151" s="6">
        <v>49676</v>
      </c>
      <c r="J151" s="6">
        <v>49257</v>
      </c>
      <c r="K151" s="6">
        <v>282</v>
      </c>
      <c r="L151" s="32" t="s">
        <v>36</v>
      </c>
      <c r="O151" s="32" t="s">
        <v>70</v>
      </c>
      <c r="P151" s="24">
        <f t="shared" si="7"/>
        <v>0.11114018842096787</v>
      </c>
      <c r="S151" s="16" t="str">
        <f>IFERROR(_xlfn.XLOOKUP(O151,'Campaign Metadata'!$A$2:$A$5,'Campaign Metadata'!$B$2:$B$5),"")</f>
        <v>2025-03-01</v>
      </c>
      <c r="T151" s="16" t="str">
        <f>IFERROR(_xlfn.XLOOKUP(O151,'Campaign Metadata'!$A$2:$A$5,'Campaign Metadata'!$C$2:$C$5),"")</f>
        <v>2025-03-31</v>
      </c>
      <c r="U151" s="27" t="str">
        <f t="shared" si="8"/>
        <v>Before</v>
      </c>
      <c r="V151" s="7">
        <f t="shared" si="9"/>
        <v>5521</v>
      </c>
    </row>
    <row r="152" spans="1:22" ht="16.5" customHeight="1" x14ac:dyDescent="0.3">
      <c r="A152" s="32" t="s">
        <v>416</v>
      </c>
      <c r="B152" s="32" t="s">
        <v>3</v>
      </c>
      <c r="C152" s="5" t="s">
        <v>194</v>
      </c>
      <c r="D152" s="32" t="s">
        <v>27</v>
      </c>
      <c r="E152" s="32" t="s">
        <v>173</v>
      </c>
      <c r="F152" s="6">
        <v>3559</v>
      </c>
      <c r="G152" s="6">
        <v>59</v>
      </c>
      <c r="H152" s="6">
        <v>289</v>
      </c>
      <c r="I152" s="6">
        <v>35590</v>
      </c>
      <c r="J152" s="6">
        <v>35105</v>
      </c>
      <c r="K152" s="6">
        <v>122</v>
      </c>
      <c r="L152" s="32" t="s">
        <v>36</v>
      </c>
      <c r="O152" s="32" t="s">
        <v>67</v>
      </c>
      <c r="P152" s="24">
        <f t="shared" si="7"/>
        <v>0.10977802753582468</v>
      </c>
      <c r="S152" s="16" t="str">
        <f>IFERROR(_xlfn.XLOOKUP(O152,'Campaign Metadata'!$A$2:$A$5,'Campaign Metadata'!$B$2:$B$5),"")</f>
        <v>2024-06-15</v>
      </c>
      <c r="T152" s="16" t="str">
        <f>IFERROR(_xlfn.XLOOKUP(O152,'Campaign Metadata'!$A$2:$A$5,'Campaign Metadata'!$C$2:$C$5),"")</f>
        <v>2024-07-15</v>
      </c>
      <c r="U152" s="27" t="str">
        <f t="shared" si="8"/>
        <v>Before</v>
      </c>
      <c r="V152" s="7">
        <f t="shared" si="9"/>
        <v>3907</v>
      </c>
    </row>
    <row r="153" spans="1:22" ht="16.5" customHeight="1" x14ac:dyDescent="0.3">
      <c r="A153" s="32" t="s">
        <v>417</v>
      </c>
      <c r="B153" s="32" t="s">
        <v>2</v>
      </c>
      <c r="C153" s="5" t="s">
        <v>418</v>
      </c>
      <c r="D153" s="32" t="s">
        <v>26</v>
      </c>
      <c r="E153" s="32" t="s">
        <v>273</v>
      </c>
      <c r="F153" s="6">
        <v>3352</v>
      </c>
      <c r="G153" s="6">
        <v>941</v>
      </c>
      <c r="H153" s="6">
        <v>482</v>
      </c>
      <c r="I153" s="6">
        <v>43576</v>
      </c>
      <c r="J153" s="6">
        <v>43338</v>
      </c>
      <c r="K153" s="6">
        <v>240</v>
      </c>
      <c r="L153" s="32" t="s">
        <v>37</v>
      </c>
      <c r="O153" s="32" t="s">
        <v>69</v>
      </c>
      <c r="P153" s="24">
        <f t="shared" si="7"/>
        <v>0.1095786671562328</v>
      </c>
      <c r="S153" s="16" t="str">
        <f>IFERROR(_xlfn.XLOOKUP(O153,'Campaign Metadata'!$A$2:$A$5,'Campaign Metadata'!$B$2:$B$5),"")</f>
        <v>2024-10-01</v>
      </c>
      <c r="T153" s="16" t="str">
        <f>IFERROR(_xlfn.XLOOKUP(O153,'Campaign Metadata'!$A$2:$A$5,'Campaign Metadata'!$C$2:$C$5),"")</f>
        <v>2024-10-31</v>
      </c>
      <c r="U153" s="27" t="str">
        <f t="shared" si="8"/>
        <v>During</v>
      </c>
      <c r="V153" s="7">
        <f t="shared" si="9"/>
        <v>4775</v>
      </c>
    </row>
    <row r="154" spans="1:22" ht="16.5" customHeight="1" x14ac:dyDescent="0.3">
      <c r="A154" s="32" t="s">
        <v>419</v>
      </c>
      <c r="B154" s="32" t="s">
        <v>5</v>
      </c>
      <c r="C154" s="5" t="s">
        <v>420</v>
      </c>
      <c r="D154" s="32" t="s">
        <v>29</v>
      </c>
      <c r="E154" s="32" t="s">
        <v>347</v>
      </c>
      <c r="F154" s="6">
        <v>4775</v>
      </c>
      <c r="G154" s="6">
        <v>173</v>
      </c>
      <c r="H154" s="6">
        <v>206</v>
      </c>
      <c r="I154" s="6">
        <v>47750</v>
      </c>
      <c r="J154" s="6">
        <v>47544</v>
      </c>
      <c r="K154" s="6">
        <v>187</v>
      </c>
      <c r="L154" s="32" t="s">
        <v>37</v>
      </c>
      <c r="O154" s="32" t="s">
        <v>69</v>
      </c>
      <c r="P154" s="24">
        <f t="shared" si="7"/>
        <v>0.10793717277486911</v>
      </c>
      <c r="S154" s="16" t="str">
        <f>IFERROR(_xlfn.XLOOKUP(O154,'Campaign Metadata'!$A$2:$A$5,'Campaign Metadata'!$B$2:$B$5),"")</f>
        <v>2024-10-01</v>
      </c>
      <c r="T154" s="16" t="str">
        <f>IFERROR(_xlfn.XLOOKUP(O154,'Campaign Metadata'!$A$2:$A$5,'Campaign Metadata'!$C$2:$C$5),"")</f>
        <v>2024-10-31</v>
      </c>
      <c r="U154" s="27" t="str">
        <f t="shared" si="8"/>
        <v>Before</v>
      </c>
      <c r="V154" s="7">
        <f t="shared" si="9"/>
        <v>5154</v>
      </c>
    </row>
    <row r="155" spans="1:22" ht="16.5" customHeight="1" x14ac:dyDescent="0.3">
      <c r="A155" s="32" t="s">
        <v>421</v>
      </c>
      <c r="B155" s="32" t="s">
        <v>4</v>
      </c>
      <c r="C155" s="5" t="s">
        <v>89</v>
      </c>
      <c r="D155" s="32" t="s">
        <v>30</v>
      </c>
      <c r="E155" s="32" t="s">
        <v>221</v>
      </c>
      <c r="F155" s="6">
        <v>941</v>
      </c>
      <c r="G155" s="6">
        <v>121</v>
      </c>
      <c r="H155" s="6">
        <v>458</v>
      </c>
      <c r="I155" s="6">
        <v>14115</v>
      </c>
      <c r="J155" s="6">
        <v>13838</v>
      </c>
      <c r="K155" s="6">
        <v>87</v>
      </c>
      <c r="L155" s="32" t="s">
        <v>36</v>
      </c>
      <c r="O155" s="32" t="s">
        <v>67</v>
      </c>
      <c r="P155" s="24">
        <f t="shared" si="7"/>
        <v>0.10768685795253277</v>
      </c>
      <c r="S155" s="16" t="str">
        <f>IFERROR(_xlfn.XLOOKUP(O155,'Campaign Metadata'!$A$2:$A$5,'Campaign Metadata'!$B$2:$B$5),"")</f>
        <v>2024-06-15</v>
      </c>
      <c r="T155" s="16" t="str">
        <f>IFERROR(_xlfn.XLOOKUP(O155,'Campaign Metadata'!$A$2:$A$5,'Campaign Metadata'!$C$2:$C$5),"")</f>
        <v>2024-07-15</v>
      </c>
      <c r="U155" s="27" t="str">
        <f t="shared" si="8"/>
        <v>During</v>
      </c>
      <c r="V155" s="7">
        <f t="shared" si="9"/>
        <v>1520</v>
      </c>
    </row>
    <row r="156" spans="1:22" ht="16.5" customHeight="1" x14ac:dyDescent="0.3">
      <c r="A156" s="32" t="s">
        <v>422</v>
      </c>
      <c r="B156" s="32" t="s">
        <v>3</v>
      </c>
      <c r="C156" s="5" t="s">
        <v>423</v>
      </c>
      <c r="D156" s="32" t="s">
        <v>31</v>
      </c>
      <c r="E156" s="32" t="s">
        <v>154</v>
      </c>
      <c r="F156" s="6">
        <v>1488</v>
      </c>
      <c r="G156" s="6">
        <v>417</v>
      </c>
      <c r="H156" s="6">
        <v>168</v>
      </c>
      <c r="I156" s="6">
        <v>19344</v>
      </c>
      <c r="J156" s="6">
        <v>18395</v>
      </c>
      <c r="K156" s="6">
        <v>30</v>
      </c>
      <c r="L156" s="32" t="s">
        <v>37</v>
      </c>
      <c r="O156" s="32" t="s">
        <v>68</v>
      </c>
      <c r="P156" s="24">
        <f t="shared" si="7"/>
        <v>0.1071650124069479</v>
      </c>
      <c r="S156" s="16" t="str">
        <f>IFERROR(_xlfn.XLOOKUP(O156,'Campaign Metadata'!$A$2:$A$5,'Campaign Metadata'!$B$2:$B$5),"")</f>
        <v>2024-12-25</v>
      </c>
      <c r="T156" s="16" t="str">
        <f>IFERROR(_xlfn.XLOOKUP(O156,'Campaign Metadata'!$A$2:$A$5,'Campaign Metadata'!$C$2:$C$5),"")</f>
        <v>2025-01-10</v>
      </c>
      <c r="U156" s="27" t="str">
        <f t="shared" si="8"/>
        <v>Before</v>
      </c>
      <c r="V156" s="7">
        <f t="shared" si="9"/>
        <v>2073</v>
      </c>
    </row>
    <row r="157" spans="1:22" ht="16.5" customHeight="1" x14ac:dyDescent="0.3">
      <c r="A157" s="32" t="s">
        <v>424</v>
      </c>
      <c r="B157" s="32" t="s">
        <v>4</v>
      </c>
      <c r="C157" s="5" t="s">
        <v>87</v>
      </c>
      <c r="D157" s="32" t="s">
        <v>29</v>
      </c>
      <c r="E157" s="32" t="s">
        <v>151</v>
      </c>
      <c r="F157" s="6">
        <v>2164</v>
      </c>
      <c r="G157" s="6">
        <v>549</v>
      </c>
      <c r="H157" s="6">
        <v>274</v>
      </c>
      <c r="I157" s="6">
        <v>28132</v>
      </c>
      <c r="J157" s="6">
        <v>27361</v>
      </c>
      <c r="K157" s="6">
        <v>177</v>
      </c>
      <c r="L157" s="32" t="s">
        <v>39</v>
      </c>
      <c r="O157" s="32" t="s">
        <v>70</v>
      </c>
      <c r="P157" s="24">
        <f t="shared" si="7"/>
        <v>0.10617801791554102</v>
      </c>
      <c r="S157" s="16" t="str">
        <f>IFERROR(_xlfn.XLOOKUP(O157,'Campaign Metadata'!$A$2:$A$5,'Campaign Metadata'!$B$2:$B$5),"")</f>
        <v>2025-03-01</v>
      </c>
      <c r="T157" s="16" t="str">
        <f>IFERROR(_xlfn.XLOOKUP(O157,'Campaign Metadata'!$A$2:$A$5,'Campaign Metadata'!$C$2:$C$5),"")</f>
        <v>2025-03-31</v>
      </c>
      <c r="U157" s="27" t="str">
        <f t="shared" si="8"/>
        <v>Before</v>
      </c>
      <c r="V157" s="7">
        <f t="shared" si="9"/>
        <v>2987</v>
      </c>
    </row>
    <row r="158" spans="1:22" ht="16.5" customHeight="1" x14ac:dyDescent="0.3">
      <c r="A158" s="32" t="s">
        <v>425</v>
      </c>
      <c r="B158" s="32" t="s">
        <v>4</v>
      </c>
      <c r="C158" s="5" t="s">
        <v>426</v>
      </c>
      <c r="D158" s="32" t="s">
        <v>31</v>
      </c>
      <c r="E158" s="32" t="s">
        <v>249</v>
      </c>
      <c r="F158" s="6">
        <v>3820</v>
      </c>
      <c r="G158" s="6">
        <v>697</v>
      </c>
      <c r="H158" s="6">
        <v>268</v>
      </c>
      <c r="I158" s="6">
        <v>45840</v>
      </c>
      <c r="J158" s="6">
        <v>45631</v>
      </c>
      <c r="K158" s="6">
        <v>171</v>
      </c>
      <c r="L158" s="32" t="s">
        <v>39</v>
      </c>
      <c r="M158" s="27" t="s">
        <v>38</v>
      </c>
      <c r="O158" s="32" t="s">
        <v>70</v>
      </c>
      <c r="P158" s="24">
        <f t="shared" si="7"/>
        <v>0.1043848167539267</v>
      </c>
      <c r="S158" s="16" t="str">
        <f>IFERROR(_xlfn.XLOOKUP(O158,'Campaign Metadata'!$A$2:$A$5,'Campaign Metadata'!$B$2:$B$5),"")</f>
        <v>2025-03-01</v>
      </c>
      <c r="T158" s="16" t="str">
        <f>IFERROR(_xlfn.XLOOKUP(O158,'Campaign Metadata'!$A$2:$A$5,'Campaign Metadata'!$C$2:$C$5),"")</f>
        <v>2025-03-31</v>
      </c>
      <c r="U158" s="27" t="str">
        <f t="shared" si="8"/>
        <v>Before</v>
      </c>
      <c r="V158" s="7">
        <f t="shared" si="9"/>
        <v>4785</v>
      </c>
    </row>
    <row r="159" spans="1:22" ht="16.5" customHeight="1" x14ac:dyDescent="0.3">
      <c r="A159" s="32" t="s">
        <v>427</v>
      </c>
      <c r="B159" s="32" t="s">
        <v>5</v>
      </c>
      <c r="C159" s="5" t="s">
        <v>428</v>
      </c>
      <c r="D159" s="32" t="s">
        <v>27</v>
      </c>
      <c r="E159" s="32" t="s">
        <v>168</v>
      </c>
      <c r="F159" s="6">
        <v>3929</v>
      </c>
      <c r="G159" s="6">
        <v>262</v>
      </c>
      <c r="H159" s="6">
        <v>278</v>
      </c>
      <c r="I159" s="6">
        <v>43219</v>
      </c>
      <c r="J159" s="6">
        <v>42841</v>
      </c>
      <c r="K159" s="6">
        <v>39</v>
      </c>
      <c r="L159" s="32" t="s">
        <v>36</v>
      </c>
      <c r="O159" s="32" t="s">
        <v>70</v>
      </c>
      <c r="P159" s="24">
        <f t="shared" si="7"/>
        <v>0.10340359564080613</v>
      </c>
      <c r="S159" s="16" t="str">
        <f>IFERROR(_xlfn.XLOOKUP(O159,'Campaign Metadata'!$A$2:$A$5,'Campaign Metadata'!$B$2:$B$5),"")</f>
        <v>2025-03-01</v>
      </c>
      <c r="T159" s="16" t="str">
        <f>IFERROR(_xlfn.XLOOKUP(O159,'Campaign Metadata'!$A$2:$A$5,'Campaign Metadata'!$C$2:$C$5),"")</f>
        <v>2025-03-31</v>
      </c>
      <c r="U159" s="27" t="str">
        <f t="shared" si="8"/>
        <v>Before</v>
      </c>
      <c r="V159" s="7">
        <f t="shared" si="9"/>
        <v>4469</v>
      </c>
    </row>
    <row r="160" spans="1:22" ht="16.5" customHeight="1" x14ac:dyDescent="0.3">
      <c r="A160" s="32" t="s">
        <v>429</v>
      </c>
      <c r="B160" s="32" t="s">
        <v>4</v>
      </c>
      <c r="C160" s="5" t="s">
        <v>430</v>
      </c>
      <c r="D160" s="32" t="s">
        <v>27</v>
      </c>
      <c r="E160" s="32" t="s">
        <v>162</v>
      </c>
      <c r="F160" s="6">
        <v>1238</v>
      </c>
      <c r="G160" s="6">
        <v>366</v>
      </c>
      <c r="H160" s="6">
        <v>444</v>
      </c>
      <c r="I160" s="6">
        <v>19808</v>
      </c>
      <c r="J160" s="6">
        <v>19334</v>
      </c>
      <c r="K160" s="6">
        <v>123</v>
      </c>
      <c r="L160" s="32" t="s">
        <v>37</v>
      </c>
      <c r="P160" s="24">
        <f t="shared" si="7"/>
        <v>0.10339256865912763</v>
      </c>
      <c r="S160" s="16" t="str">
        <f>IFERROR(_xlfn.XLOOKUP(O160,'Campaign Metadata'!$A$2:$A$5,'Campaign Metadata'!$B$2:$B$5),"")</f>
        <v/>
      </c>
      <c r="T160" s="16" t="str">
        <f>IFERROR(_xlfn.XLOOKUP(O160,'Campaign Metadata'!$A$2:$A$5,'Campaign Metadata'!$C$2:$C$5),"")</f>
        <v/>
      </c>
      <c r="U160" s="27" t="str">
        <f t="shared" si="8"/>
        <v>No Campaign</v>
      </c>
      <c r="V160" s="7">
        <f t="shared" si="9"/>
        <v>2048</v>
      </c>
    </row>
    <row r="161" spans="1:22" ht="16.5" customHeight="1" x14ac:dyDescent="0.3">
      <c r="A161" s="32" t="s">
        <v>431</v>
      </c>
      <c r="B161" s="32" t="s">
        <v>3</v>
      </c>
      <c r="C161" s="5" t="s">
        <v>97</v>
      </c>
      <c r="D161" s="32" t="s">
        <v>28</v>
      </c>
      <c r="E161" s="32" t="s">
        <v>148</v>
      </c>
      <c r="F161" s="6">
        <v>3000</v>
      </c>
      <c r="G161" s="6">
        <v>382</v>
      </c>
      <c r="H161" s="6">
        <v>325</v>
      </c>
      <c r="I161" s="6">
        <v>36000</v>
      </c>
      <c r="J161" s="6">
        <v>35819</v>
      </c>
      <c r="K161" s="6">
        <v>19</v>
      </c>
      <c r="L161" s="32" t="s">
        <v>37</v>
      </c>
      <c r="O161" s="32" t="s">
        <v>67</v>
      </c>
      <c r="P161" s="24">
        <f t="shared" si="7"/>
        <v>0.10297222222222223</v>
      </c>
      <c r="S161" s="16" t="str">
        <f>IFERROR(_xlfn.XLOOKUP(O161,'Campaign Metadata'!$A$2:$A$5,'Campaign Metadata'!$B$2:$B$5),"")</f>
        <v>2024-06-15</v>
      </c>
      <c r="T161" s="16" t="str">
        <f>IFERROR(_xlfn.XLOOKUP(O161,'Campaign Metadata'!$A$2:$A$5,'Campaign Metadata'!$C$2:$C$5),"")</f>
        <v>2024-07-15</v>
      </c>
      <c r="U161" s="27" t="str">
        <f t="shared" si="8"/>
        <v>Before</v>
      </c>
      <c r="V161" s="7">
        <f t="shared" si="9"/>
        <v>3707</v>
      </c>
    </row>
    <row r="162" spans="1:22" ht="16.5" customHeight="1" x14ac:dyDescent="0.3">
      <c r="A162" s="32" t="s">
        <v>432</v>
      </c>
      <c r="B162" s="32" t="s">
        <v>2</v>
      </c>
      <c r="C162" s="5" t="s">
        <v>246</v>
      </c>
      <c r="D162" s="32" t="s">
        <v>27</v>
      </c>
      <c r="E162" s="32" t="s">
        <v>183</v>
      </c>
      <c r="F162" s="6">
        <v>4689</v>
      </c>
      <c r="G162" s="6">
        <v>134</v>
      </c>
      <c r="H162" s="6">
        <v>403</v>
      </c>
      <c r="I162" s="6">
        <v>51579</v>
      </c>
      <c r="J162" s="6">
        <v>50924</v>
      </c>
      <c r="K162" s="6">
        <v>173</v>
      </c>
      <c r="L162" s="32" t="s">
        <v>39</v>
      </c>
      <c r="O162" s="32" t="s">
        <v>70</v>
      </c>
      <c r="P162" s="24">
        <f t="shared" si="7"/>
        <v>0.10132030477519921</v>
      </c>
      <c r="S162" s="16" t="str">
        <f>IFERROR(_xlfn.XLOOKUP(O162,'Campaign Metadata'!$A$2:$A$5,'Campaign Metadata'!$B$2:$B$5),"")</f>
        <v>2025-03-01</v>
      </c>
      <c r="T162" s="16" t="str">
        <f>IFERROR(_xlfn.XLOOKUP(O162,'Campaign Metadata'!$A$2:$A$5,'Campaign Metadata'!$C$2:$C$5),"")</f>
        <v>2025-03-31</v>
      </c>
      <c r="U162" s="27" t="str">
        <f t="shared" si="8"/>
        <v>Before</v>
      </c>
      <c r="V162" s="7">
        <f t="shared" si="9"/>
        <v>5226</v>
      </c>
    </row>
    <row r="163" spans="1:22" ht="16.5" customHeight="1" x14ac:dyDescent="0.3">
      <c r="A163" s="32" t="s">
        <v>433</v>
      </c>
      <c r="B163" s="32" t="s">
        <v>2</v>
      </c>
      <c r="C163" s="5" t="s">
        <v>111</v>
      </c>
      <c r="D163" s="32" t="s">
        <v>29</v>
      </c>
      <c r="E163" s="32" t="s">
        <v>204</v>
      </c>
      <c r="F163" s="6">
        <v>4182</v>
      </c>
      <c r="G163" s="6">
        <v>640</v>
      </c>
      <c r="H163" s="6">
        <v>240</v>
      </c>
      <c r="I163" s="6">
        <v>50184</v>
      </c>
      <c r="J163" s="6">
        <v>49351</v>
      </c>
      <c r="K163" s="6">
        <v>10</v>
      </c>
      <c r="L163" s="32" t="s">
        <v>39</v>
      </c>
      <c r="O163" s="32" t="s">
        <v>68</v>
      </c>
      <c r="P163" s="24">
        <f t="shared" si="7"/>
        <v>0.10086880280567512</v>
      </c>
      <c r="S163" s="16" t="str">
        <f>IFERROR(_xlfn.XLOOKUP(O163,'Campaign Metadata'!$A$2:$A$5,'Campaign Metadata'!$B$2:$B$5),"")</f>
        <v>2024-12-25</v>
      </c>
      <c r="T163" s="16" t="str">
        <f>IFERROR(_xlfn.XLOOKUP(O163,'Campaign Metadata'!$A$2:$A$5,'Campaign Metadata'!$C$2:$C$5),"")</f>
        <v>2025-01-10</v>
      </c>
      <c r="U163" s="27" t="str">
        <f t="shared" si="8"/>
        <v>Before</v>
      </c>
      <c r="V163" s="7">
        <f t="shared" si="9"/>
        <v>5062</v>
      </c>
    </row>
    <row r="164" spans="1:22" ht="16.5" customHeight="1" x14ac:dyDescent="0.3">
      <c r="A164" s="32" t="s">
        <v>434</v>
      </c>
      <c r="B164" s="32" t="s">
        <v>3</v>
      </c>
      <c r="C164" s="5" t="s">
        <v>435</v>
      </c>
      <c r="D164" s="32" t="s">
        <v>31</v>
      </c>
      <c r="E164" s="32" t="s">
        <v>154</v>
      </c>
      <c r="F164" s="6">
        <v>1071</v>
      </c>
      <c r="G164" s="6">
        <v>519</v>
      </c>
      <c r="H164" s="6">
        <v>22</v>
      </c>
      <c r="I164" s="6">
        <v>16065</v>
      </c>
      <c r="J164" s="6">
        <v>15865</v>
      </c>
      <c r="K164" s="6">
        <v>103</v>
      </c>
      <c r="L164" s="32" t="s">
        <v>39</v>
      </c>
      <c r="O164" s="32" t="s">
        <v>70</v>
      </c>
      <c r="P164" s="24">
        <f t="shared" si="7"/>
        <v>0.10034235916588857</v>
      </c>
      <c r="S164" s="16" t="str">
        <f>IFERROR(_xlfn.XLOOKUP(O164,'Campaign Metadata'!$A$2:$A$5,'Campaign Metadata'!$B$2:$B$5),"")</f>
        <v>2025-03-01</v>
      </c>
      <c r="T164" s="16" t="str">
        <f>IFERROR(_xlfn.XLOOKUP(O164,'Campaign Metadata'!$A$2:$A$5,'Campaign Metadata'!$C$2:$C$5),"")</f>
        <v>2025-03-31</v>
      </c>
      <c r="U164" s="27" t="str">
        <f t="shared" si="8"/>
        <v>Before</v>
      </c>
      <c r="V164" s="7">
        <f t="shared" si="9"/>
        <v>1612</v>
      </c>
    </row>
    <row r="165" spans="1:22" ht="16.5" customHeight="1" x14ac:dyDescent="0.3">
      <c r="A165" s="32" t="s">
        <v>436</v>
      </c>
      <c r="B165" s="32" t="s">
        <v>4</v>
      </c>
      <c r="C165" s="5" t="s">
        <v>437</v>
      </c>
      <c r="D165" s="32" t="s">
        <v>31</v>
      </c>
      <c r="E165" s="32" t="s">
        <v>249</v>
      </c>
      <c r="F165" s="6">
        <v>4050</v>
      </c>
      <c r="G165" s="6">
        <v>871</v>
      </c>
      <c r="H165" s="6">
        <v>347</v>
      </c>
      <c r="I165" s="6">
        <v>52650</v>
      </c>
      <c r="J165" s="6">
        <v>51755</v>
      </c>
      <c r="K165" s="6">
        <v>209</v>
      </c>
      <c r="L165" s="32" t="s">
        <v>39</v>
      </c>
      <c r="O165" s="32" t="s">
        <v>69</v>
      </c>
      <c r="P165" s="24">
        <f t="shared" si="7"/>
        <v>0.10005698005698006</v>
      </c>
      <c r="S165" s="16" t="str">
        <f>IFERROR(_xlfn.XLOOKUP(O165,'Campaign Metadata'!$A$2:$A$5,'Campaign Metadata'!$B$2:$B$5),"")</f>
        <v>2024-10-01</v>
      </c>
      <c r="T165" s="16" t="str">
        <f>IFERROR(_xlfn.XLOOKUP(O165,'Campaign Metadata'!$A$2:$A$5,'Campaign Metadata'!$C$2:$C$5),"")</f>
        <v>2024-10-31</v>
      </c>
      <c r="U165" s="27" t="str">
        <f t="shared" si="8"/>
        <v>Before</v>
      </c>
      <c r="V165" s="7">
        <f t="shared" si="9"/>
        <v>5268</v>
      </c>
    </row>
    <row r="166" spans="1:22" ht="16.5" customHeight="1" x14ac:dyDescent="0.3">
      <c r="A166" s="32" t="s">
        <v>438</v>
      </c>
      <c r="B166" s="32" t="s">
        <v>3</v>
      </c>
      <c r="C166" s="5" t="s">
        <v>393</v>
      </c>
      <c r="D166" s="32" t="s">
        <v>26</v>
      </c>
      <c r="E166" s="32" t="s">
        <v>186</v>
      </c>
      <c r="F166" s="6">
        <v>4158</v>
      </c>
      <c r="G166" s="6">
        <v>167</v>
      </c>
      <c r="H166" s="6">
        <v>241</v>
      </c>
      <c r="I166" s="6">
        <v>45738</v>
      </c>
      <c r="J166" s="6">
        <v>45183</v>
      </c>
      <c r="K166" s="6">
        <v>142</v>
      </c>
      <c r="L166" s="32" t="s">
        <v>37</v>
      </c>
      <c r="P166" s="24">
        <f t="shared" si="7"/>
        <v>9.9829463465827106E-2</v>
      </c>
      <c r="S166" s="16" t="str">
        <f>IFERROR(_xlfn.XLOOKUP(O166,'Campaign Metadata'!$A$2:$A$5,'Campaign Metadata'!$B$2:$B$5),"")</f>
        <v/>
      </c>
      <c r="T166" s="16" t="str">
        <f>IFERROR(_xlfn.XLOOKUP(O166,'Campaign Metadata'!$A$2:$A$5,'Campaign Metadata'!$C$2:$C$5),"")</f>
        <v/>
      </c>
      <c r="U166" s="27" t="str">
        <f t="shared" si="8"/>
        <v>No Campaign</v>
      </c>
      <c r="V166" s="7">
        <f t="shared" si="9"/>
        <v>4566</v>
      </c>
    </row>
    <row r="167" spans="1:22" ht="16.5" customHeight="1" x14ac:dyDescent="0.3">
      <c r="A167" s="32" t="s">
        <v>439</v>
      </c>
      <c r="B167" s="32" t="s">
        <v>2</v>
      </c>
      <c r="C167" s="5" t="s">
        <v>272</v>
      </c>
      <c r="D167" s="32" t="s">
        <v>27</v>
      </c>
      <c r="E167" s="32" t="s">
        <v>183</v>
      </c>
      <c r="F167" s="6">
        <v>3689</v>
      </c>
      <c r="G167" s="6">
        <v>48</v>
      </c>
      <c r="H167" s="6">
        <v>306</v>
      </c>
      <c r="I167" s="6">
        <v>40579</v>
      </c>
      <c r="J167" s="6">
        <v>39588</v>
      </c>
      <c r="K167" s="6">
        <v>212</v>
      </c>
      <c r="L167" s="32" t="s">
        <v>36</v>
      </c>
      <c r="O167" s="32" t="s">
        <v>69</v>
      </c>
      <c r="P167" s="24">
        <f t="shared" si="7"/>
        <v>9.9632815002833983E-2</v>
      </c>
      <c r="S167" s="16" t="str">
        <f>IFERROR(_xlfn.XLOOKUP(O167,'Campaign Metadata'!$A$2:$A$5,'Campaign Metadata'!$B$2:$B$5),"")</f>
        <v>2024-10-01</v>
      </c>
      <c r="T167" s="16" t="str">
        <f>IFERROR(_xlfn.XLOOKUP(O167,'Campaign Metadata'!$A$2:$A$5,'Campaign Metadata'!$C$2:$C$5),"")</f>
        <v>2024-10-31</v>
      </c>
      <c r="U167" s="27" t="str">
        <f t="shared" si="8"/>
        <v>Before</v>
      </c>
      <c r="V167" s="7">
        <f t="shared" si="9"/>
        <v>4043</v>
      </c>
    </row>
    <row r="168" spans="1:22" ht="16.5" customHeight="1" x14ac:dyDescent="0.3">
      <c r="A168" s="32" t="s">
        <v>440</v>
      </c>
      <c r="B168" s="32" t="s">
        <v>5</v>
      </c>
      <c r="C168" s="5" t="s">
        <v>378</v>
      </c>
      <c r="D168" s="32" t="s">
        <v>29</v>
      </c>
      <c r="E168" s="32" t="s">
        <v>347</v>
      </c>
      <c r="F168" s="6">
        <v>4285</v>
      </c>
      <c r="G168" s="6">
        <v>886</v>
      </c>
      <c r="H168" s="6">
        <v>376</v>
      </c>
      <c r="I168" s="6">
        <v>55705</v>
      </c>
      <c r="J168" s="6">
        <v>55556</v>
      </c>
      <c r="K168" s="6">
        <v>51</v>
      </c>
      <c r="L168" s="32" t="s">
        <v>37</v>
      </c>
      <c r="O168" s="32" t="s">
        <v>68</v>
      </c>
      <c r="P168" s="24">
        <f t="shared" si="7"/>
        <v>9.9578134817341346E-2</v>
      </c>
      <c r="S168" s="16" t="str">
        <f>IFERROR(_xlfn.XLOOKUP(O168,'Campaign Metadata'!$A$2:$A$5,'Campaign Metadata'!$B$2:$B$5),"")</f>
        <v>2024-12-25</v>
      </c>
      <c r="T168" s="16" t="str">
        <f>IFERROR(_xlfn.XLOOKUP(O168,'Campaign Metadata'!$A$2:$A$5,'Campaign Metadata'!$C$2:$C$5),"")</f>
        <v>2025-01-10</v>
      </c>
      <c r="U168" s="27" t="str">
        <f t="shared" si="8"/>
        <v>Before</v>
      </c>
      <c r="V168" s="7">
        <f t="shared" si="9"/>
        <v>5547</v>
      </c>
    </row>
    <row r="169" spans="1:22" ht="16.5" customHeight="1" x14ac:dyDescent="0.3">
      <c r="A169" s="32" t="s">
        <v>441</v>
      </c>
      <c r="B169" s="32" t="s">
        <v>4</v>
      </c>
      <c r="C169" s="5" t="s">
        <v>442</v>
      </c>
      <c r="D169" s="32" t="s">
        <v>27</v>
      </c>
      <c r="E169" s="32" t="s">
        <v>162</v>
      </c>
      <c r="F169" s="6">
        <v>4858</v>
      </c>
      <c r="G169" s="6">
        <v>317</v>
      </c>
      <c r="H169" s="6">
        <v>129</v>
      </c>
      <c r="I169" s="6">
        <v>53438</v>
      </c>
      <c r="J169" s="6">
        <v>52687</v>
      </c>
      <c r="K169" s="6">
        <v>223</v>
      </c>
      <c r="L169" s="32" t="s">
        <v>36</v>
      </c>
      <c r="O169" s="32" t="s">
        <v>68</v>
      </c>
      <c r="P169" s="24">
        <f t="shared" si="7"/>
        <v>9.9255211647142488E-2</v>
      </c>
      <c r="S169" s="16" t="str">
        <f>IFERROR(_xlfn.XLOOKUP(O169,'Campaign Metadata'!$A$2:$A$5,'Campaign Metadata'!$B$2:$B$5),"")</f>
        <v>2024-12-25</v>
      </c>
      <c r="T169" s="16" t="str">
        <f>IFERROR(_xlfn.XLOOKUP(O169,'Campaign Metadata'!$A$2:$A$5,'Campaign Metadata'!$C$2:$C$5),"")</f>
        <v>2025-01-10</v>
      </c>
      <c r="U169" s="27" t="str">
        <f t="shared" si="8"/>
        <v>Before</v>
      </c>
      <c r="V169" s="7">
        <f t="shared" si="9"/>
        <v>5304</v>
      </c>
    </row>
    <row r="170" spans="1:22" ht="16.5" customHeight="1" x14ac:dyDescent="0.3">
      <c r="A170" s="32" t="s">
        <v>443</v>
      </c>
      <c r="B170" s="32" t="s">
        <v>3</v>
      </c>
      <c r="C170" s="5" t="s">
        <v>444</v>
      </c>
      <c r="D170" s="32" t="s">
        <v>30</v>
      </c>
      <c r="E170" s="32" t="s">
        <v>197</v>
      </c>
      <c r="F170" s="6">
        <v>4771</v>
      </c>
      <c r="G170" s="6">
        <v>818</v>
      </c>
      <c r="H170" s="6">
        <v>56</v>
      </c>
      <c r="I170" s="6">
        <v>57252</v>
      </c>
      <c r="J170" s="6">
        <v>56378</v>
      </c>
      <c r="K170" s="6">
        <v>150</v>
      </c>
      <c r="L170" s="32" t="s">
        <v>37</v>
      </c>
      <c r="P170" s="24">
        <f t="shared" si="7"/>
        <v>9.859917557465242E-2</v>
      </c>
      <c r="S170" s="16" t="str">
        <f>IFERROR(_xlfn.XLOOKUP(O170,'Campaign Metadata'!$A$2:$A$5,'Campaign Metadata'!$B$2:$B$5),"")</f>
        <v/>
      </c>
      <c r="T170" s="16" t="str">
        <f>IFERROR(_xlfn.XLOOKUP(O170,'Campaign Metadata'!$A$2:$A$5,'Campaign Metadata'!$C$2:$C$5),"")</f>
        <v/>
      </c>
      <c r="U170" s="27" t="str">
        <f t="shared" si="8"/>
        <v>No Campaign</v>
      </c>
      <c r="V170" s="7">
        <f t="shared" si="9"/>
        <v>5645</v>
      </c>
    </row>
    <row r="171" spans="1:22" ht="16.5" customHeight="1" x14ac:dyDescent="0.3">
      <c r="A171" s="32" t="s">
        <v>445</v>
      </c>
      <c r="B171" s="32" t="s">
        <v>4</v>
      </c>
      <c r="C171" s="5" t="s">
        <v>446</v>
      </c>
      <c r="D171" s="32" t="s">
        <v>27</v>
      </c>
      <c r="E171" s="32" t="s">
        <v>162</v>
      </c>
      <c r="F171" s="6">
        <v>2358</v>
      </c>
      <c r="G171" s="6">
        <v>784</v>
      </c>
      <c r="H171" s="6">
        <v>344</v>
      </c>
      <c r="I171" s="6">
        <v>35370</v>
      </c>
      <c r="J171" s="6">
        <v>34475</v>
      </c>
      <c r="K171" s="6">
        <v>216</v>
      </c>
      <c r="L171" s="32" t="s">
        <v>39</v>
      </c>
      <c r="P171" s="24">
        <f t="shared" si="7"/>
        <v>9.8558100084817649E-2</v>
      </c>
      <c r="S171" s="16" t="str">
        <f>IFERROR(_xlfn.XLOOKUP(O171,'Campaign Metadata'!$A$2:$A$5,'Campaign Metadata'!$B$2:$B$5),"")</f>
        <v/>
      </c>
      <c r="T171" s="16" t="str">
        <f>IFERROR(_xlfn.XLOOKUP(O171,'Campaign Metadata'!$A$2:$A$5,'Campaign Metadata'!$C$2:$C$5),"")</f>
        <v/>
      </c>
      <c r="U171" s="27" t="str">
        <f t="shared" si="8"/>
        <v>No Campaign</v>
      </c>
      <c r="V171" s="7">
        <f t="shared" si="9"/>
        <v>3486</v>
      </c>
    </row>
    <row r="172" spans="1:22" ht="16.5" customHeight="1" x14ac:dyDescent="0.3">
      <c r="A172" s="32" t="s">
        <v>447</v>
      </c>
      <c r="B172" s="32" t="s">
        <v>5</v>
      </c>
      <c r="C172" s="5" t="s">
        <v>448</v>
      </c>
      <c r="D172" s="32" t="s">
        <v>31</v>
      </c>
      <c r="E172" s="32" t="s">
        <v>207</v>
      </c>
      <c r="F172" s="6">
        <v>1018</v>
      </c>
      <c r="G172" s="6">
        <v>447</v>
      </c>
      <c r="H172" s="6">
        <v>332</v>
      </c>
      <c r="I172" s="6">
        <v>18324</v>
      </c>
      <c r="J172" s="6">
        <v>18164</v>
      </c>
      <c r="K172" s="6">
        <v>38</v>
      </c>
      <c r="L172" s="32" t="s">
        <v>37</v>
      </c>
      <c r="O172" s="32" t="s">
        <v>69</v>
      </c>
      <c r="P172" s="24">
        <f t="shared" si="7"/>
        <v>9.8068107400130972E-2</v>
      </c>
      <c r="S172" s="16" t="str">
        <f>IFERROR(_xlfn.XLOOKUP(O172,'Campaign Metadata'!$A$2:$A$5,'Campaign Metadata'!$B$2:$B$5),"")</f>
        <v>2024-10-01</v>
      </c>
      <c r="T172" s="16" t="str">
        <f>IFERROR(_xlfn.XLOOKUP(O172,'Campaign Metadata'!$A$2:$A$5,'Campaign Metadata'!$C$2:$C$5),"")</f>
        <v>2024-10-31</v>
      </c>
      <c r="U172" s="27" t="str">
        <f t="shared" si="8"/>
        <v>Before</v>
      </c>
      <c r="V172" s="7">
        <f t="shared" si="9"/>
        <v>1797</v>
      </c>
    </row>
    <row r="173" spans="1:22" ht="16.5" customHeight="1" x14ac:dyDescent="0.3">
      <c r="A173" s="32" t="s">
        <v>449</v>
      </c>
      <c r="B173" s="32" t="s">
        <v>5</v>
      </c>
      <c r="C173" s="5" t="s">
        <v>450</v>
      </c>
      <c r="D173" s="32" t="s">
        <v>29</v>
      </c>
      <c r="E173" s="32" t="s">
        <v>347</v>
      </c>
      <c r="F173" s="6">
        <v>3641</v>
      </c>
      <c r="G173" s="6">
        <v>226</v>
      </c>
      <c r="H173" s="6">
        <v>46</v>
      </c>
      <c r="I173" s="6">
        <v>40051</v>
      </c>
      <c r="J173" s="6">
        <v>39319</v>
      </c>
      <c r="K173" s="6">
        <v>296</v>
      </c>
      <c r="L173" s="32" t="s">
        <v>36</v>
      </c>
      <c r="O173" s="32" t="s">
        <v>70</v>
      </c>
      <c r="P173" s="24">
        <f t="shared" si="7"/>
        <v>9.7700431949264685E-2</v>
      </c>
      <c r="S173" s="16" t="str">
        <f>IFERROR(_xlfn.XLOOKUP(O173,'Campaign Metadata'!$A$2:$A$5,'Campaign Metadata'!$B$2:$B$5),"")</f>
        <v>2025-03-01</v>
      </c>
      <c r="T173" s="16" t="str">
        <f>IFERROR(_xlfn.XLOOKUP(O173,'Campaign Metadata'!$A$2:$A$5,'Campaign Metadata'!$C$2:$C$5),"")</f>
        <v>2025-03-31</v>
      </c>
      <c r="U173" s="27" t="str">
        <f t="shared" si="8"/>
        <v>Before</v>
      </c>
      <c r="V173" s="7">
        <f t="shared" si="9"/>
        <v>3913</v>
      </c>
    </row>
    <row r="174" spans="1:22" ht="16.5" customHeight="1" x14ac:dyDescent="0.3">
      <c r="A174" s="32" t="s">
        <v>451</v>
      </c>
      <c r="B174" s="32" t="s">
        <v>4</v>
      </c>
      <c r="C174" s="5" t="s">
        <v>452</v>
      </c>
      <c r="D174" s="32" t="s">
        <v>27</v>
      </c>
      <c r="E174" s="32" t="s">
        <v>162</v>
      </c>
      <c r="F174" s="6">
        <v>3592</v>
      </c>
      <c r="G174" s="6">
        <v>911</v>
      </c>
      <c r="H174" s="6">
        <v>375</v>
      </c>
      <c r="I174" s="6">
        <v>50288</v>
      </c>
      <c r="J174" s="6">
        <v>49490</v>
      </c>
      <c r="K174" s="6">
        <v>32</v>
      </c>
      <c r="L174" s="32" t="s">
        <v>37</v>
      </c>
      <c r="O174" s="32" t="s">
        <v>70</v>
      </c>
      <c r="P174" s="24">
        <f t="shared" si="7"/>
        <v>9.7001272669424113E-2</v>
      </c>
      <c r="S174" s="16" t="str">
        <f>IFERROR(_xlfn.XLOOKUP(O174,'Campaign Metadata'!$A$2:$A$5,'Campaign Metadata'!$B$2:$B$5),"")</f>
        <v>2025-03-01</v>
      </c>
      <c r="T174" s="16" t="str">
        <f>IFERROR(_xlfn.XLOOKUP(O174,'Campaign Metadata'!$A$2:$A$5,'Campaign Metadata'!$C$2:$C$5),"")</f>
        <v>2025-03-31</v>
      </c>
      <c r="U174" s="27" t="str">
        <f t="shared" si="8"/>
        <v>During</v>
      </c>
      <c r="V174" s="7">
        <f t="shared" si="9"/>
        <v>4878</v>
      </c>
    </row>
    <row r="175" spans="1:22" ht="16.5" customHeight="1" x14ac:dyDescent="0.3">
      <c r="A175" s="32" t="s">
        <v>453</v>
      </c>
      <c r="B175" s="32" t="s">
        <v>3</v>
      </c>
      <c r="C175" s="5" t="s">
        <v>454</v>
      </c>
      <c r="D175" s="32" t="s">
        <v>26</v>
      </c>
      <c r="E175" s="32" t="s">
        <v>186</v>
      </c>
      <c r="F175" s="6">
        <v>4523</v>
      </c>
      <c r="G175" s="6">
        <v>61</v>
      </c>
      <c r="H175" s="6">
        <v>157</v>
      </c>
      <c r="I175" s="6">
        <v>49753</v>
      </c>
      <c r="J175" s="6">
        <v>49329</v>
      </c>
      <c r="K175" s="6">
        <v>71</v>
      </c>
      <c r="L175" s="32" t="s">
        <v>36</v>
      </c>
      <c r="P175" s="24">
        <f t="shared" si="7"/>
        <v>9.5290736237010829E-2</v>
      </c>
      <c r="S175" s="16" t="str">
        <f>IFERROR(_xlfn.XLOOKUP(O175,'Campaign Metadata'!$A$2:$A$5,'Campaign Metadata'!$B$2:$B$5),"")</f>
        <v/>
      </c>
      <c r="T175" s="16" t="str">
        <f>IFERROR(_xlfn.XLOOKUP(O175,'Campaign Metadata'!$A$2:$A$5,'Campaign Metadata'!$C$2:$C$5),"")</f>
        <v/>
      </c>
      <c r="U175" s="27" t="str">
        <f t="shared" si="8"/>
        <v>No Campaign</v>
      </c>
      <c r="V175" s="7">
        <f t="shared" si="9"/>
        <v>4741</v>
      </c>
    </row>
    <row r="176" spans="1:22" ht="16.5" customHeight="1" x14ac:dyDescent="0.3">
      <c r="A176" s="32" t="s">
        <v>455</v>
      </c>
      <c r="B176" s="32" t="s">
        <v>3</v>
      </c>
      <c r="C176" s="5" t="s">
        <v>456</v>
      </c>
      <c r="D176" s="32" t="s">
        <v>29</v>
      </c>
      <c r="E176" s="32" t="s">
        <v>145</v>
      </c>
      <c r="F176" s="6">
        <v>1816</v>
      </c>
      <c r="G176" s="6">
        <v>29</v>
      </c>
      <c r="H176" s="6">
        <v>41</v>
      </c>
      <c r="I176" s="6">
        <v>19976</v>
      </c>
      <c r="J176" s="6">
        <v>19262</v>
      </c>
      <c r="K176" s="6">
        <v>283</v>
      </c>
      <c r="L176" s="32" t="s">
        <v>39</v>
      </c>
      <c r="O176" s="32" t="s">
        <v>68</v>
      </c>
      <c r="P176" s="24">
        <f t="shared" si="7"/>
        <v>9.4413295955146179E-2</v>
      </c>
      <c r="S176" s="16" t="str">
        <f>IFERROR(_xlfn.XLOOKUP(O176,'Campaign Metadata'!$A$2:$A$5,'Campaign Metadata'!$B$2:$B$5),"")</f>
        <v>2024-12-25</v>
      </c>
      <c r="T176" s="16" t="str">
        <f>IFERROR(_xlfn.XLOOKUP(O176,'Campaign Metadata'!$A$2:$A$5,'Campaign Metadata'!$C$2:$C$5),"")</f>
        <v>2025-01-10</v>
      </c>
      <c r="U176" s="27" t="str">
        <f t="shared" si="8"/>
        <v>Before</v>
      </c>
      <c r="V176" s="7">
        <f t="shared" si="9"/>
        <v>1886</v>
      </c>
    </row>
    <row r="177" spans="1:22" ht="16.5" customHeight="1" x14ac:dyDescent="0.3">
      <c r="A177" s="32" t="s">
        <v>457</v>
      </c>
      <c r="B177" s="32" t="s">
        <v>2</v>
      </c>
      <c r="C177" s="5" t="s">
        <v>135</v>
      </c>
      <c r="D177" s="32" t="s">
        <v>30</v>
      </c>
      <c r="E177" s="32" t="s">
        <v>209</v>
      </c>
      <c r="F177" s="6">
        <v>4441</v>
      </c>
      <c r="G177" s="6">
        <v>511</v>
      </c>
      <c r="H177" s="6">
        <v>70</v>
      </c>
      <c r="I177" s="6">
        <v>53292</v>
      </c>
      <c r="J177" s="6">
        <v>53082</v>
      </c>
      <c r="K177" s="6">
        <v>159</v>
      </c>
      <c r="L177" s="32" t="s">
        <v>36</v>
      </c>
      <c r="O177" s="32" t="s">
        <v>70</v>
      </c>
      <c r="P177" s="24">
        <f t="shared" si="7"/>
        <v>9.4235532537716729E-2</v>
      </c>
      <c r="S177" s="16" t="str">
        <f>IFERROR(_xlfn.XLOOKUP(O177,'Campaign Metadata'!$A$2:$A$5,'Campaign Metadata'!$B$2:$B$5),"")</f>
        <v>2025-03-01</v>
      </c>
      <c r="T177" s="16" t="str">
        <f>IFERROR(_xlfn.XLOOKUP(O177,'Campaign Metadata'!$A$2:$A$5,'Campaign Metadata'!$C$2:$C$5),"")</f>
        <v>2025-03-31</v>
      </c>
      <c r="U177" s="27" t="str">
        <f t="shared" si="8"/>
        <v>Before</v>
      </c>
      <c r="V177" s="7">
        <f t="shared" si="9"/>
        <v>5022</v>
      </c>
    </row>
    <row r="178" spans="1:22" ht="16.5" customHeight="1" x14ac:dyDescent="0.3">
      <c r="A178" s="32" t="s">
        <v>458</v>
      </c>
      <c r="B178" s="32" t="s">
        <v>5</v>
      </c>
      <c r="C178" s="5" t="s">
        <v>459</v>
      </c>
      <c r="D178" s="32" t="s">
        <v>30</v>
      </c>
      <c r="E178" s="32" t="s">
        <v>217</v>
      </c>
      <c r="F178" s="6">
        <v>2746</v>
      </c>
      <c r="G178" s="6">
        <v>156</v>
      </c>
      <c r="H178" s="6">
        <v>203</v>
      </c>
      <c r="I178" s="6">
        <v>32952</v>
      </c>
      <c r="J178" s="6">
        <v>32147</v>
      </c>
      <c r="K178" s="6">
        <v>147</v>
      </c>
      <c r="L178" s="32" t="s">
        <v>36</v>
      </c>
      <c r="O178" s="32" t="s">
        <v>67</v>
      </c>
      <c r="P178" s="24">
        <f t="shared" si="7"/>
        <v>9.422796795338674E-2</v>
      </c>
      <c r="S178" s="16" t="str">
        <f>IFERROR(_xlfn.XLOOKUP(O178,'Campaign Metadata'!$A$2:$A$5,'Campaign Metadata'!$B$2:$B$5),"")</f>
        <v>2024-06-15</v>
      </c>
      <c r="T178" s="16" t="str">
        <f>IFERROR(_xlfn.XLOOKUP(O178,'Campaign Metadata'!$A$2:$A$5,'Campaign Metadata'!$C$2:$C$5),"")</f>
        <v>2024-07-15</v>
      </c>
      <c r="U178" s="27" t="str">
        <f t="shared" si="8"/>
        <v>Before</v>
      </c>
      <c r="V178" s="7">
        <f t="shared" si="9"/>
        <v>3105</v>
      </c>
    </row>
    <row r="179" spans="1:22" ht="16.5" customHeight="1" x14ac:dyDescent="0.3">
      <c r="A179" s="32" t="s">
        <v>460</v>
      </c>
      <c r="B179" s="32" t="s">
        <v>4</v>
      </c>
      <c r="C179" s="5" t="s">
        <v>280</v>
      </c>
      <c r="D179" s="32" t="s">
        <v>30</v>
      </c>
      <c r="E179" s="32" t="s">
        <v>221</v>
      </c>
      <c r="F179" s="6">
        <v>1292</v>
      </c>
      <c r="G179" s="6">
        <v>626</v>
      </c>
      <c r="H179" s="6">
        <v>496</v>
      </c>
      <c r="I179" s="6">
        <v>25840</v>
      </c>
      <c r="J179" s="6">
        <v>24916</v>
      </c>
      <c r="K179" s="6">
        <v>149</v>
      </c>
      <c r="L179" s="32" t="s">
        <v>37</v>
      </c>
      <c r="O179" s="32" t="s">
        <v>68</v>
      </c>
      <c r="P179" s="24">
        <f t="shared" si="7"/>
        <v>9.3421052631578946E-2</v>
      </c>
      <c r="S179" s="16" t="str">
        <f>IFERROR(_xlfn.XLOOKUP(O179,'Campaign Metadata'!$A$2:$A$5,'Campaign Metadata'!$B$2:$B$5),"")</f>
        <v>2024-12-25</v>
      </c>
      <c r="T179" s="16" t="str">
        <f>IFERROR(_xlfn.XLOOKUP(O179,'Campaign Metadata'!$A$2:$A$5,'Campaign Metadata'!$C$2:$C$5),"")</f>
        <v>2025-01-10</v>
      </c>
      <c r="U179" s="27" t="str">
        <f t="shared" si="8"/>
        <v>Before</v>
      </c>
      <c r="V179" s="7">
        <f t="shared" si="9"/>
        <v>2414</v>
      </c>
    </row>
    <row r="180" spans="1:22" ht="16.5" customHeight="1" x14ac:dyDescent="0.3">
      <c r="A180" s="32" t="s">
        <v>461</v>
      </c>
      <c r="B180" s="32" t="s">
        <v>3</v>
      </c>
      <c r="C180" s="5" t="s">
        <v>345</v>
      </c>
      <c r="D180" s="32" t="s">
        <v>30</v>
      </c>
      <c r="E180" s="32" t="s">
        <v>197</v>
      </c>
      <c r="F180" s="6">
        <v>2180</v>
      </c>
      <c r="G180" s="6">
        <v>263</v>
      </c>
      <c r="H180" s="6">
        <v>387</v>
      </c>
      <c r="I180" s="6">
        <v>30520</v>
      </c>
      <c r="J180" s="6">
        <v>30059</v>
      </c>
      <c r="K180" s="6">
        <v>174</v>
      </c>
      <c r="L180" s="32" t="s">
        <v>36</v>
      </c>
      <c r="P180" s="24">
        <f t="shared" si="7"/>
        <v>9.2726081258191345E-2</v>
      </c>
      <c r="S180" s="16" t="str">
        <f>IFERROR(_xlfn.XLOOKUP(O180,'Campaign Metadata'!$A$2:$A$5,'Campaign Metadata'!$B$2:$B$5),"")</f>
        <v/>
      </c>
      <c r="T180" s="16" t="str">
        <f>IFERROR(_xlfn.XLOOKUP(O180,'Campaign Metadata'!$A$2:$A$5,'Campaign Metadata'!$C$2:$C$5),"")</f>
        <v/>
      </c>
      <c r="U180" s="27" t="str">
        <f t="shared" si="8"/>
        <v>No Campaign</v>
      </c>
      <c r="V180" s="7">
        <f t="shared" si="9"/>
        <v>2830</v>
      </c>
    </row>
    <row r="181" spans="1:22" ht="16.5" customHeight="1" x14ac:dyDescent="0.3">
      <c r="A181" s="32" t="s">
        <v>462</v>
      </c>
      <c r="B181" s="32" t="s">
        <v>5</v>
      </c>
      <c r="C181" s="5" t="s">
        <v>123</v>
      </c>
      <c r="D181" s="32" t="s">
        <v>31</v>
      </c>
      <c r="E181" s="32" t="s">
        <v>207</v>
      </c>
      <c r="F181" s="6">
        <v>1766</v>
      </c>
      <c r="G181" s="6">
        <v>92</v>
      </c>
      <c r="H181" s="6">
        <v>424</v>
      </c>
      <c r="I181" s="6">
        <v>24724</v>
      </c>
      <c r="J181" s="6">
        <v>24333</v>
      </c>
      <c r="K181" s="6">
        <v>52</v>
      </c>
      <c r="L181" s="32" t="s">
        <v>36</v>
      </c>
      <c r="P181" s="24">
        <f t="shared" si="7"/>
        <v>9.2298980747451867E-2</v>
      </c>
      <c r="S181" s="16" t="str">
        <f>IFERROR(_xlfn.XLOOKUP(O181,'Campaign Metadata'!$A$2:$A$5,'Campaign Metadata'!$B$2:$B$5),"")</f>
        <v/>
      </c>
      <c r="T181" s="16" t="str">
        <f>IFERROR(_xlfn.XLOOKUP(O181,'Campaign Metadata'!$A$2:$A$5,'Campaign Metadata'!$C$2:$C$5),"")</f>
        <v/>
      </c>
      <c r="U181" s="27" t="str">
        <f t="shared" si="8"/>
        <v>No Campaign</v>
      </c>
      <c r="V181" s="7">
        <f t="shared" si="9"/>
        <v>2282</v>
      </c>
    </row>
    <row r="182" spans="1:22" ht="16.5" customHeight="1" x14ac:dyDescent="0.3">
      <c r="A182" s="32" t="s">
        <v>463</v>
      </c>
      <c r="B182" s="32" t="s">
        <v>2</v>
      </c>
      <c r="C182" s="5" t="s">
        <v>88</v>
      </c>
      <c r="D182" s="32" t="s">
        <v>27</v>
      </c>
      <c r="E182" s="32" t="s">
        <v>183</v>
      </c>
      <c r="F182" s="6">
        <v>1226</v>
      </c>
      <c r="G182" s="6">
        <v>119</v>
      </c>
      <c r="H182" s="6">
        <v>7</v>
      </c>
      <c r="I182" s="6">
        <v>14712</v>
      </c>
      <c r="J182" s="6">
        <v>14049</v>
      </c>
      <c r="K182" s="6">
        <v>123</v>
      </c>
      <c r="L182" s="32" t="s">
        <v>36</v>
      </c>
      <c r="O182" s="32" t="s">
        <v>70</v>
      </c>
      <c r="P182" s="24">
        <f t="shared" si="7"/>
        <v>9.1897770527460579E-2</v>
      </c>
      <c r="S182" s="16" t="str">
        <f>IFERROR(_xlfn.XLOOKUP(O182,'Campaign Metadata'!$A$2:$A$5,'Campaign Metadata'!$B$2:$B$5),"")</f>
        <v>2025-03-01</v>
      </c>
      <c r="T182" s="16" t="str">
        <f>IFERROR(_xlfn.XLOOKUP(O182,'Campaign Metadata'!$A$2:$A$5,'Campaign Metadata'!$C$2:$C$5),"")</f>
        <v>2025-03-31</v>
      </c>
      <c r="U182" s="27" t="str">
        <f t="shared" si="8"/>
        <v>Before</v>
      </c>
      <c r="V182" s="7">
        <f t="shared" si="9"/>
        <v>1352</v>
      </c>
    </row>
    <row r="183" spans="1:22" ht="16.5" customHeight="1" x14ac:dyDescent="0.3">
      <c r="A183" s="32" t="s">
        <v>464</v>
      </c>
      <c r="B183" s="32" t="s">
        <v>3</v>
      </c>
      <c r="C183" s="5" t="s">
        <v>465</v>
      </c>
      <c r="D183" s="32" t="s">
        <v>26</v>
      </c>
      <c r="E183" s="32" t="s">
        <v>186</v>
      </c>
      <c r="F183" s="6">
        <v>3099</v>
      </c>
      <c r="G183" s="6">
        <v>694</v>
      </c>
      <c r="H183" s="6">
        <v>171</v>
      </c>
      <c r="I183" s="6">
        <v>43386</v>
      </c>
      <c r="J183" s="6">
        <v>42921</v>
      </c>
      <c r="K183" s="6">
        <v>52</v>
      </c>
      <c r="L183" s="32" t="s">
        <v>39</v>
      </c>
      <c r="O183" s="32" t="s">
        <v>68</v>
      </c>
      <c r="P183" s="24">
        <f t="shared" si="7"/>
        <v>9.1365878393951966E-2</v>
      </c>
      <c r="S183" s="16" t="str">
        <f>IFERROR(_xlfn.XLOOKUP(O183,'Campaign Metadata'!$A$2:$A$5,'Campaign Metadata'!$B$2:$B$5),"")</f>
        <v>2024-12-25</v>
      </c>
      <c r="T183" s="16" t="str">
        <f>IFERROR(_xlfn.XLOOKUP(O183,'Campaign Metadata'!$A$2:$A$5,'Campaign Metadata'!$C$2:$C$5),"")</f>
        <v>2025-01-10</v>
      </c>
      <c r="U183" s="27" t="str">
        <f t="shared" si="8"/>
        <v>Before</v>
      </c>
      <c r="V183" s="7">
        <f t="shared" si="9"/>
        <v>3964</v>
      </c>
    </row>
    <row r="184" spans="1:22" ht="16.5" customHeight="1" x14ac:dyDescent="0.3">
      <c r="A184" s="32" t="s">
        <v>466</v>
      </c>
      <c r="B184" s="32" t="s">
        <v>4</v>
      </c>
      <c r="C184" s="5" t="s">
        <v>467</v>
      </c>
      <c r="D184" s="32" t="s">
        <v>31</v>
      </c>
      <c r="E184" s="32" t="s">
        <v>249</v>
      </c>
      <c r="F184" s="6">
        <v>1082</v>
      </c>
      <c r="G184" s="6">
        <v>209</v>
      </c>
      <c r="H184" s="6">
        <v>484</v>
      </c>
      <c r="I184" s="6">
        <v>19476</v>
      </c>
      <c r="J184" s="6">
        <v>18654</v>
      </c>
      <c r="K184" s="6">
        <v>20</v>
      </c>
      <c r="L184" s="32" t="s">
        <v>39</v>
      </c>
      <c r="P184" s="24">
        <f t="shared" si="7"/>
        <v>9.1137810638734856E-2</v>
      </c>
      <c r="S184" s="16" t="str">
        <f>IFERROR(_xlfn.XLOOKUP(O184,'Campaign Metadata'!$A$2:$A$5,'Campaign Metadata'!$B$2:$B$5),"")</f>
        <v/>
      </c>
      <c r="T184" s="16" t="str">
        <f>IFERROR(_xlfn.XLOOKUP(O184,'Campaign Metadata'!$A$2:$A$5,'Campaign Metadata'!$C$2:$C$5),"")</f>
        <v/>
      </c>
      <c r="U184" s="27" t="str">
        <f t="shared" si="8"/>
        <v>No Campaign</v>
      </c>
      <c r="V184" s="7">
        <f t="shared" si="9"/>
        <v>1775</v>
      </c>
    </row>
    <row r="185" spans="1:22" ht="16.5" customHeight="1" x14ac:dyDescent="0.3">
      <c r="A185" s="32" t="s">
        <v>468</v>
      </c>
      <c r="B185" s="32" t="s">
        <v>4</v>
      </c>
      <c r="C185" s="5" t="s">
        <v>115</v>
      </c>
      <c r="D185" s="32" t="s">
        <v>28</v>
      </c>
      <c r="E185" s="32" t="s">
        <v>177</v>
      </c>
      <c r="F185" s="6">
        <v>1461</v>
      </c>
      <c r="G185" s="6">
        <v>184</v>
      </c>
      <c r="H185" s="6">
        <v>344</v>
      </c>
      <c r="I185" s="6">
        <v>21915</v>
      </c>
      <c r="J185" s="6">
        <v>21675</v>
      </c>
      <c r="K185" s="6">
        <v>15</v>
      </c>
      <c r="L185" s="32" t="s">
        <v>37</v>
      </c>
      <c r="M185" s="27" t="s">
        <v>34</v>
      </c>
      <c r="O185" s="32" t="s">
        <v>67</v>
      </c>
      <c r="P185" s="24">
        <f t="shared" si="7"/>
        <v>9.0759753593429152E-2</v>
      </c>
      <c r="S185" s="16" t="str">
        <f>IFERROR(_xlfn.XLOOKUP(O185,'Campaign Metadata'!$A$2:$A$5,'Campaign Metadata'!$B$2:$B$5),"")</f>
        <v>2024-06-15</v>
      </c>
      <c r="T185" s="16" t="str">
        <f>IFERROR(_xlfn.XLOOKUP(O185,'Campaign Metadata'!$A$2:$A$5,'Campaign Metadata'!$C$2:$C$5),"")</f>
        <v>2024-07-15</v>
      </c>
      <c r="U185" s="27" t="str">
        <f t="shared" si="8"/>
        <v>Before</v>
      </c>
      <c r="V185" s="7">
        <f t="shared" si="9"/>
        <v>1989</v>
      </c>
    </row>
    <row r="186" spans="1:22" ht="16.5" customHeight="1" x14ac:dyDescent="0.3">
      <c r="A186" s="32" t="s">
        <v>469</v>
      </c>
      <c r="B186" s="32" t="s">
        <v>4</v>
      </c>
      <c r="C186" s="5" t="s">
        <v>470</v>
      </c>
      <c r="D186" s="32" t="s">
        <v>28</v>
      </c>
      <c r="E186" s="32" t="s">
        <v>177</v>
      </c>
      <c r="F186" s="6">
        <v>802</v>
      </c>
      <c r="G186" s="6">
        <v>262</v>
      </c>
      <c r="H186" s="6">
        <v>244</v>
      </c>
      <c r="I186" s="6">
        <v>14436</v>
      </c>
      <c r="J186" s="6">
        <v>14280</v>
      </c>
      <c r="K186" s="6">
        <v>49</v>
      </c>
      <c r="L186" s="32" t="s">
        <v>36</v>
      </c>
      <c r="O186" s="32" t="s">
        <v>67</v>
      </c>
      <c r="P186" s="24">
        <f t="shared" si="7"/>
        <v>9.0606816292601824E-2</v>
      </c>
      <c r="S186" s="16" t="str">
        <f>IFERROR(_xlfn.XLOOKUP(O186,'Campaign Metadata'!$A$2:$A$5,'Campaign Metadata'!$B$2:$B$5),"")</f>
        <v>2024-06-15</v>
      </c>
      <c r="T186" s="16" t="str">
        <f>IFERROR(_xlfn.XLOOKUP(O186,'Campaign Metadata'!$A$2:$A$5,'Campaign Metadata'!$C$2:$C$5),"")</f>
        <v>2024-07-15</v>
      </c>
      <c r="U186" s="27" t="str">
        <f t="shared" si="8"/>
        <v>Before</v>
      </c>
      <c r="V186" s="7">
        <f t="shared" si="9"/>
        <v>1308</v>
      </c>
    </row>
    <row r="187" spans="1:22" ht="16.5" customHeight="1" x14ac:dyDescent="0.3">
      <c r="A187" s="32" t="s">
        <v>471</v>
      </c>
      <c r="B187" s="32" t="s">
        <v>5</v>
      </c>
      <c r="C187" s="5" t="s">
        <v>378</v>
      </c>
      <c r="D187" s="32" t="s">
        <v>30</v>
      </c>
      <c r="E187" s="32" t="s">
        <v>217</v>
      </c>
      <c r="F187" s="6">
        <v>3711</v>
      </c>
      <c r="G187" s="6">
        <v>352</v>
      </c>
      <c r="H187" s="6">
        <v>290</v>
      </c>
      <c r="I187" s="6">
        <v>48243</v>
      </c>
      <c r="J187" s="6">
        <v>47579</v>
      </c>
      <c r="K187" s="6">
        <v>11</v>
      </c>
      <c r="L187" s="32" t="s">
        <v>39</v>
      </c>
      <c r="O187" s="32" t="s">
        <v>67</v>
      </c>
      <c r="P187" s="24">
        <f t="shared" si="7"/>
        <v>9.023070704558174E-2</v>
      </c>
      <c r="S187" s="16" t="str">
        <f>IFERROR(_xlfn.XLOOKUP(O187,'Campaign Metadata'!$A$2:$A$5,'Campaign Metadata'!$B$2:$B$5),"")</f>
        <v>2024-06-15</v>
      </c>
      <c r="T187" s="16" t="str">
        <f>IFERROR(_xlfn.XLOOKUP(O187,'Campaign Metadata'!$A$2:$A$5,'Campaign Metadata'!$C$2:$C$5),"")</f>
        <v>2024-07-15</v>
      </c>
      <c r="U187" s="27" t="str">
        <f t="shared" si="8"/>
        <v>Before</v>
      </c>
      <c r="V187" s="7">
        <f t="shared" si="9"/>
        <v>4353</v>
      </c>
    </row>
    <row r="188" spans="1:22" ht="16.5" customHeight="1" x14ac:dyDescent="0.3">
      <c r="A188" s="32" t="s">
        <v>472</v>
      </c>
      <c r="B188" s="32" t="s">
        <v>5</v>
      </c>
      <c r="C188" s="5" t="s">
        <v>473</v>
      </c>
      <c r="D188" s="32" t="s">
        <v>28</v>
      </c>
      <c r="E188" s="32" t="s">
        <v>237</v>
      </c>
      <c r="F188" s="6">
        <v>3009</v>
      </c>
      <c r="G188" s="6">
        <v>413</v>
      </c>
      <c r="H188" s="6">
        <v>358</v>
      </c>
      <c r="I188" s="6">
        <v>42126</v>
      </c>
      <c r="J188" s="6">
        <v>41309</v>
      </c>
      <c r="K188" s="6">
        <v>211</v>
      </c>
      <c r="L188" s="32" t="s">
        <v>37</v>
      </c>
      <c r="O188" s="32" t="s">
        <v>69</v>
      </c>
      <c r="P188" s="24">
        <f t="shared" si="7"/>
        <v>8.9730807577268201E-2</v>
      </c>
      <c r="S188" s="16" t="str">
        <f>IFERROR(_xlfn.XLOOKUP(O188,'Campaign Metadata'!$A$2:$A$5,'Campaign Metadata'!$B$2:$B$5),"")</f>
        <v>2024-10-01</v>
      </c>
      <c r="T188" s="16" t="str">
        <f>IFERROR(_xlfn.XLOOKUP(O188,'Campaign Metadata'!$A$2:$A$5,'Campaign Metadata'!$C$2:$C$5),"")</f>
        <v>2024-10-31</v>
      </c>
      <c r="U188" s="27" t="str">
        <f t="shared" si="8"/>
        <v>Before</v>
      </c>
      <c r="V188" s="7">
        <f t="shared" si="9"/>
        <v>3780</v>
      </c>
    </row>
    <row r="189" spans="1:22" ht="16.5" customHeight="1" x14ac:dyDescent="0.3">
      <c r="A189" s="32" t="s">
        <v>474</v>
      </c>
      <c r="B189" s="32" t="s">
        <v>5</v>
      </c>
      <c r="C189" s="5" t="s">
        <v>475</v>
      </c>
      <c r="D189" s="32" t="s">
        <v>28</v>
      </c>
      <c r="E189" s="32" t="s">
        <v>237</v>
      </c>
      <c r="F189" s="6">
        <v>2936</v>
      </c>
      <c r="G189" s="6">
        <v>439</v>
      </c>
      <c r="H189" s="6">
        <v>44</v>
      </c>
      <c r="I189" s="6">
        <v>38168</v>
      </c>
      <c r="J189" s="6">
        <v>37571</v>
      </c>
      <c r="K189" s="6">
        <v>22</v>
      </c>
      <c r="L189" s="32" t="s">
        <v>36</v>
      </c>
      <c r="O189" s="32" t="s">
        <v>70</v>
      </c>
      <c r="P189" s="24">
        <f t="shared" si="7"/>
        <v>8.9577656675749323E-2</v>
      </c>
      <c r="S189" s="16" t="str">
        <f>IFERROR(_xlfn.XLOOKUP(O189,'Campaign Metadata'!$A$2:$A$5,'Campaign Metadata'!$B$2:$B$5),"")</f>
        <v>2025-03-01</v>
      </c>
      <c r="T189" s="16" t="str">
        <f>IFERROR(_xlfn.XLOOKUP(O189,'Campaign Metadata'!$A$2:$A$5,'Campaign Metadata'!$C$2:$C$5),"")</f>
        <v>2025-03-31</v>
      </c>
      <c r="U189" s="27" t="str">
        <f t="shared" si="8"/>
        <v>Before</v>
      </c>
      <c r="V189" s="7">
        <f t="shared" si="9"/>
        <v>3419</v>
      </c>
    </row>
    <row r="190" spans="1:22" ht="16.5" customHeight="1" x14ac:dyDescent="0.3">
      <c r="A190" s="32" t="s">
        <v>476</v>
      </c>
      <c r="B190" s="32" t="s">
        <v>3</v>
      </c>
      <c r="C190" s="5" t="s">
        <v>185</v>
      </c>
      <c r="D190" s="32" t="s">
        <v>26</v>
      </c>
      <c r="E190" s="32" t="s">
        <v>186</v>
      </c>
      <c r="F190" s="6">
        <v>3068</v>
      </c>
      <c r="G190" s="6">
        <v>137</v>
      </c>
      <c r="H190" s="6">
        <v>329</v>
      </c>
      <c r="I190" s="6">
        <v>39884</v>
      </c>
      <c r="J190" s="6">
        <v>39404</v>
      </c>
      <c r="K190" s="6">
        <v>266</v>
      </c>
      <c r="L190" s="32" t="s">
        <v>36</v>
      </c>
      <c r="O190" s="32" t="s">
        <v>69</v>
      </c>
      <c r="P190" s="24">
        <f t="shared" si="7"/>
        <v>8.860696018453515E-2</v>
      </c>
      <c r="S190" s="16" t="str">
        <f>IFERROR(_xlfn.XLOOKUP(O190,'Campaign Metadata'!$A$2:$A$5,'Campaign Metadata'!$B$2:$B$5),"")</f>
        <v>2024-10-01</v>
      </c>
      <c r="T190" s="16" t="str">
        <f>IFERROR(_xlfn.XLOOKUP(O190,'Campaign Metadata'!$A$2:$A$5,'Campaign Metadata'!$C$2:$C$5),"")</f>
        <v>2024-10-31</v>
      </c>
      <c r="U190" s="27" t="str">
        <f t="shared" si="8"/>
        <v>During</v>
      </c>
      <c r="V190" s="7">
        <f t="shared" si="9"/>
        <v>3534</v>
      </c>
    </row>
    <row r="191" spans="1:22" ht="16.5" customHeight="1" x14ac:dyDescent="0.3">
      <c r="A191" s="32" t="s">
        <v>477</v>
      </c>
      <c r="B191" s="32" t="s">
        <v>5</v>
      </c>
      <c r="C191" s="5" t="s">
        <v>126</v>
      </c>
      <c r="D191" s="32" t="s">
        <v>28</v>
      </c>
      <c r="E191" s="32" t="s">
        <v>237</v>
      </c>
      <c r="F191" s="6">
        <v>296</v>
      </c>
      <c r="G191" s="6">
        <v>60</v>
      </c>
      <c r="H191" s="6">
        <v>141</v>
      </c>
      <c r="I191" s="6">
        <v>5624</v>
      </c>
      <c r="J191" s="6">
        <v>5239</v>
      </c>
      <c r="K191" s="6">
        <v>88</v>
      </c>
      <c r="L191" s="32" t="s">
        <v>36</v>
      </c>
      <c r="O191" s="32" t="s">
        <v>69</v>
      </c>
      <c r="P191" s="24">
        <f t="shared" si="7"/>
        <v>8.837126600284495E-2</v>
      </c>
      <c r="S191" s="16" t="str">
        <f>IFERROR(_xlfn.XLOOKUP(O191,'Campaign Metadata'!$A$2:$A$5,'Campaign Metadata'!$B$2:$B$5),"")</f>
        <v>2024-10-01</v>
      </c>
      <c r="T191" s="16" t="str">
        <f>IFERROR(_xlfn.XLOOKUP(O191,'Campaign Metadata'!$A$2:$A$5,'Campaign Metadata'!$C$2:$C$5),"")</f>
        <v>2024-10-31</v>
      </c>
      <c r="U191" s="27" t="str">
        <f t="shared" si="8"/>
        <v>Before</v>
      </c>
      <c r="V191" s="7">
        <f t="shared" si="9"/>
        <v>497</v>
      </c>
    </row>
    <row r="192" spans="1:22" ht="16.5" customHeight="1" x14ac:dyDescent="0.3">
      <c r="A192" s="32" t="s">
        <v>478</v>
      </c>
      <c r="B192" s="32" t="s">
        <v>2</v>
      </c>
      <c r="C192" s="5" t="s">
        <v>479</v>
      </c>
      <c r="D192" s="32" t="s">
        <v>30</v>
      </c>
      <c r="E192" s="32" t="s">
        <v>209</v>
      </c>
      <c r="F192" s="6">
        <v>3784</v>
      </c>
      <c r="G192" s="6">
        <v>808</v>
      </c>
      <c r="H192" s="6">
        <v>404</v>
      </c>
      <c r="I192" s="6">
        <v>56760</v>
      </c>
      <c r="J192" s="6">
        <v>56343</v>
      </c>
      <c r="K192" s="6">
        <v>131</v>
      </c>
      <c r="L192" s="32" t="s">
        <v>39</v>
      </c>
      <c r="O192" s="32" t="s">
        <v>69</v>
      </c>
      <c r="P192" s="24">
        <f t="shared" si="7"/>
        <v>8.8019732205778717E-2</v>
      </c>
      <c r="S192" s="16" t="str">
        <f>IFERROR(_xlfn.XLOOKUP(O192,'Campaign Metadata'!$A$2:$A$5,'Campaign Metadata'!$B$2:$B$5),"")</f>
        <v>2024-10-01</v>
      </c>
      <c r="T192" s="16" t="str">
        <f>IFERROR(_xlfn.XLOOKUP(O192,'Campaign Metadata'!$A$2:$A$5,'Campaign Metadata'!$C$2:$C$5),"")</f>
        <v>2024-10-31</v>
      </c>
      <c r="U192" s="27" t="str">
        <f t="shared" si="8"/>
        <v>Before</v>
      </c>
      <c r="V192" s="7">
        <f t="shared" si="9"/>
        <v>4996</v>
      </c>
    </row>
    <row r="193" spans="1:22" ht="16.5" customHeight="1" x14ac:dyDescent="0.3">
      <c r="A193" s="32" t="s">
        <v>480</v>
      </c>
      <c r="B193" s="32" t="s">
        <v>3</v>
      </c>
      <c r="C193" s="5" t="s">
        <v>481</v>
      </c>
      <c r="D193" s="32" t="s">
        <v>29</v>
      </c>
      <c r="E193" s="32" t="s">
        <v>145</v>
      </c>
      <c r="F193" s="6">
        <v>4332</v>
      </c>
      <c r="G193" s="6">
        <v>771</v>
      </c>
      <c r="H193" s="6">
        <v>219</v>
      </c>
      <c r="I193" s="6">
        <v>60648</v>
      </c>
      <c r="J193" s="6">
        <v>60397</v>
      </c>
      <c r="K193" s="6">
        <v>10</v>
      </c>
      <c r="L193" s="32" t="s">
        <v>39</v>
      </c>
      <c r="M193" s="27" t="s">
        <v>36</v>
      </c>
      <c r="N193" s="27" t="s">
        <v>35</v>
      </c>
      <c r="O193" s="32" t="s">
        <v>68</v>
      </c>
      <c r="P193" s="24">
        <f t="shared" si="7"/>
        <v>8.7752275425405618E-2</v>
      </c>
      <c r="S193" s="16" t="str">
        <f>IFERROR(_xlfn.XLOOKUP(O193,'Campaign Metadata'!$A$2:$A$5,'Campaign Metadata'!$B$2:$B$5),"")</f>
        <v>2024-12-25</v>
      </c>
      <c r="T193" s="16" t="str">
        <f>IFERROR(_xlfn.XLOOKUP(O193,'Campaign Metadata'!$A$2:$A$5,'Campaign Metadata'!$C$2:$C$5),"")</f>
        <v>2025-01-10</v>
      </c>
      <c r="U193" s="27" t="str">
        <f t="shared" si="8"/>
        <v>Before</v>
      </c>
      <c r="V193" s="7">
        <f t="shared" si="9"/>
        <v>5322</v>
      </c>
    </row>
    <row r="194" spans="1:22" ht="16.5" customHeight="1" x14ac:dyDescent="0.3">
      <c r="A194" s="32" t="s">
        <v>482</v>
      </c>
      <c r="B194" s="32" t="s">
        <v>4</v>
      </c>
      <c r="C194" s="5" t="s">
        <v>275</v>
      </c>
      <c r="D194" s="32" t="s">
        <v>27</v>
      </c>
      <c r="E194" s="32" t="s">
        <v>162</v>
      </c>
      <c r="F194" s="6">
        <v>827</v>
      </c>
      <c r="G194" s="6">
        <v>77</v>
      </c>
      <c r="H194" s="6">
        <v>402</v>
      </c>
      <c r="I194" s="6">
        <v>14886</v>
      </c>
      <c r="J194" s="6">
        <v>14129</v>
      </c>
      <c r="K194" s="6">
        <v>254</v>
      </c>
      <c r="L194" s="32" t="s">
        <v>36</v>
      </c>
      <c r="O194" s="32" t="s">
        <v>69</v>
      </c>
      <c r="P194" s="24">
        <f t="shared" ref="P194:P257" si="10">(F194+G194+H194)/I194</f>
        <v>8.7733440816874911E-2</v>
      </c>
      <c r="S194" s="16" t="str">
        <f>IFERROR(_xlfn.XLOOKUP(O194,'Campaign Metadata'!$A$2:$A$5,'Campaign Metadata'!$B$2:$B$5),"")</f>
        <v>2024-10-01</v>
      </c>
      <c r="T194" s="16" t="str">
        <f>IFERROR(_xlfn.XLOOKUP(O194,'Campaign Metadata'!$A$2:$A$5,'Campaign Metadata'!$C$2:$C$5),"")</f>
        <v>2024-10-31</v>
      </c>
      <c r="U194" s="27" t="str">
        <f t="shared" si="8"/>
        <v>Before</v>
      </c>
      <c r="V194" s="7">
        <f t="shared" si="9"/>
        <v>1306</v>
      </c>
    </row>
    <row r="195" spans="1:22" ht="16.5" customHeight="1" x14ac:dyDescent="0.3">
      <c r="A195" s="32" t="s">
        <v>483</v>
      </c>
      <c r="B195" s="32" t="s">
        <v>3</v>
      </c>
      <c r="C195" s="5" t="s">
        <v>484</v>
      </c>
      <c r="D195" s="32" t="s">
        <v>27</v>
      </c>
      <c r="E195" s="32" t="s">
        <v>173</v>
      </c>
      <c r="F195" s="6">
        <v>4739</v>
      </c>
      <c r="G195" s="6">
        <v>527</v>
      </c>
      <c r="H195" s="6">
        <v>135</v>
      </c>
      <c r="I195" s="6">
        <v>61607</v>
      </c>
      <c r="J195" s="6">
        <v>61333</v>
      </c>
      <c r="K195" s="6">
        <v>36</v>
      </c>
      <c r="L195" s="32" t="s">
        <v>39</v>
      </c>
      <c r="M195" s="27" t="s">
        <v>34</v>
      </c>
      <c r="O195" s="32" t="s">
        <v>69</v>
      </c>
      <c r="P195" s="24">
        <f t="shared" si="10"/>
        <v>8.7668609086629767E-2</v>
      </c>
      <c r="S195" s="16" t="str">
        <f>IFERROR(_xlfn.XLOOKUP(O195,'Campaign Metadata'!$A$2:$A$5,'Campaign Metadata'!$B$2:$B$5),"")</f>
        <v>2024-10-01</v>
      </c>
      <c r="T195" s="16" t="str">
        <f>IFERROR(_xlfn.XLOOKUP(O195,'Campaign Metadata'!$A$2:$A$5,'Campaign Metadata'!$C$2:$C$5),"")</f>
        <v>2024-10-31</v>
      </c>
      <c r="U195" s="27" t="str">
        <f t="shared" ref="U195:U258" si="11">IF(O195="","No Campaign",IF(AND(C195&gt;=S195,C195&lt;=T195),"During","Before"))</f>
        <v>Before</v>
      </c>
      <c r="V195" s="7">
        <f t="shared" ref="V195:V258" si="12">F195+G195+H195</f>
        <v>5401</v>
      </c>
    </row>
    <row r="196" spans="1:22" ht="16.5" customHeight="1" x14ac:dyDescent="0.3">
      <c r="A196" s="32" t="s">
        <v>485</v>
      </c>
      <c r="B196" s="32" t="s">
        <v>4</v>
      </c>
      <c r="C196" s="5" t="s">
        <v>486</v>
      </c>
      <c r="D196" s="32" t="s">
        <v>28</v>
      </c>
      <c r="E196" s="32" t="s">
        <v>177</v>
      </c>
      <c r="F196" s="6">
        <v>3791</v>
      </c>
      <c r="G196" s="6">
        <v>593</v>
      </c>
      <c r="H196" s="6">
        <v>228</v>
      </c>
      <c r="I196" s="6">
        <v>53074</v>
      </c>
      <c r="J196" s="6">
        <v>52613</v>
      </c>
      <c r="K196" s="6">
        <v>205</v>
      </c>
      <c r="L196" s="32" t="s">
        <v>36</v>
      </c>
      <c r="P196" s="24">
        <f t="shared" si="10"/>
        <v>8.6897539284772202E-2</v>
      </c>
      <c r="S196" s="16" t="str">
        <f>IFERROR(_xlfn.XLOOKUP(O196,'Campaign Metadata'!$A$2:$A$5,'Campaign Metadata'!$B$2:$B$5),"")</f>
        <v/>
      </c>
      <c r="T196" s="16" t="str">
        <f>IFERROR(_xlfn.XLOOKUP(O196,'Campaign Metadata'!$A$2:$A$5,'Campaign Metadata'!$C$2:$C$5),"")</f>
        <v/>
      </c>
      <c r="U196" s="27" t="str">
        <f t="shared" si="11"/>
        <v>No Campaign</v>
      </c>
      <c r="V196" s="7">
        <f t="shared" si="12"/>
        <v>4612</v>
      </c>
    </row>
    <row r="197" spans="1:22" ht="16.5" customHeight="1" x14ac:dyDescent="0.3">
      <c r="A197" s="32" t="s">
        <v>487</v>
      </c>
      <c r="B197" s="32" t="s">
        <v>2</v>
      </c>
      <c r="C197" s="5" t="s">
        <v>113</v>
      </c>
      <c r="D197" s="32" t="s">
        <v>27</v>
      </c>
      <c r="E197" s="32" t="s">
        <v>183</v>
      </c>
      <c r="F197" s="6">
        <v>1841</v>
      </c>
      <c r="G197" s="6">
        <v>851</v>
      </c>
      <c r="H197" s="6">
        <v>342</v>
      </c>
      <c r="I197" s="6">
        <v>34979</v>
      </c>
      <c r="J197" s="6">
        <v>34154</v>
      </c>
      <c r="K197" s="6">
        <v>255</v>
      </c>
      <c r="L197" s="32" t="s">
        <v>37</v>
      </c>
      <c r="O197" s="32" t="s">
        <v>70</v>
      </c>
      <c r="P197" s="24">
        <f t="shared" si="10"/>
        <v>8.6737756939878216E-2</v>
      </c>
      <c r="S197" s="16" t="str">
        <f>IFERROR(_xlfn.XLOOKUP(O197,'Campaign Metadata'!$A$2:$A$5,'Campaign Metadata'!$B$2:$B$5),"")</f>
        <v>2025-03-01</v>
      </c>
      <c r="T197" s="16" t="str">
        <f>IFERROR(_xlfn.XLOOKUP(O197,'Campaign Metadata'!$A$2:$A$5,'Campaign Metadata'!$C$2:$C$5),"")</f>
        <v>2025-03-31</v>
      </c>
      <c r="U197" s="27" t="str">
        <f t="shared" si="11"/>
        <v>Before</v>
      </c>
      <c r="V197" s="7">
        <f t="shared" si="12"/>
        <v>3034</v>
      </c>
    </row>
    <row r="198" spans="1:22" ht="16.5" customHeight="1" x14ac:dyDescent="0.3">
      <c r="A198" s="32" t="s">
        <v>488</v>
      </c>
      <c r="B198" s="32" t="s">
        <v>2</v>
      </c>
      <c r="C198" s="5" t="s">
        <v>489</v>
      </c>
      <c r="D198" s="32" t="s">
        <v>29</v>
      </c>
      <c r="E198" s="32" t="s">
        <v>204</v>
      </c>
      <c r="F198" s="6">
        <v>3430</v>
      </c>
      <c r="G198" s="6">
        <v>566</v>
      </c>
      <c r="H198" s="6">
        <v>164</v>
      </c>
      <c r="I198" s="6">
        <v>48020</v>
      </c>
      <c r="J198" s="6">
        <v>47305</v>
      </c>
      <c r="K198" s="6">
        <v>120</v>
      </c>
      <c r="L198" s="32" t="s">
        <v>37</v>
      </c>
      <c r="P198" s="24">
        <f t="shared" si="10"/>
        <v>8.6630570595585168E-2</v>
      </c>
      <c r="S198" s="16" t="str">
        <f>IFERROR(_xlfn.XLOOKUP(O198,'Campaign Metadata'!$A$2:$A$5,'Campaign Metadata'!$B$2:$B$5),"")</f>
        <v/>
      </c>
      <c r="T198" s="16" t="str">
        <f>IFERROR(_xlfn.XLOOKUP(O198,'Campaign Metadata'!$A$2:$A$5,'Campaign Metadata'!$C$2:$C$5),"")</f>
        <v/>
      </c>
      <c r="U198" s="27" t="str">
        <f t="shared" si="11"/>
        <v>No Campaign</v>
      </c>
      <c r="V198" s="7">
        <f t="shared" si="12"/>
        <v>4160</v>
      </c>
    </row>
    <row r="199" spans="1:22" ht="16.5" customHeight="1" x14ac:dyDescent="0.3">
      <c r="A199" s="32" t="s">
        <v>490</v>
      </c>
      <c r="B199" s="32" t="s">
        <v>5</v>
      </c>
      <c r="C199" s="5" t="s">
        <v>89</v>
      </c>
      <c r="D199" s="32" t="s">
        <v>31</v>
      </c>
      <c r="E199" s="32" t="s">
        <v>207</v>
      </c>
      <c r="F199" s="6">
        <v>2949</v>
      </c>
      <c r="G199" s="6">
        <v>476</v>
      </c>
      <c r="H199" s="6">
        <v>403</v>
      </c>
      <c r="I199" s="6">
        <v>44235</v>
      </c>
      <c r="J199" s="6">
        <v>43705</v>
      </c>
      <c r="K199" s="6">
        <v>135</v>
      </c>
      <c r="L199" s="32" t="s">
        <v>39</v>
      </c>
      <c r="O199" s="32" t="s">
        <v>69</v>
      </c>
      <c r="P199" s="24">
        <f t="shared" si="10"/>
        <v>8.6537809426924378E-2</v>
      </c>
      <c r="S199" s="16" t="str">
        <f>IFERROR(_xlfn.XLOOKUP(O199,'Campaign Metadata'!$A$2:$A$5,'Campaign Metadata'!$B$2:$B$5),"")</f>
        <v>2024-10-01</v>
      </c>
      <c r="T199" s="16" t="str">
        <f>IFERROR(_xlfn.XLOOKUP(O199,'Campaign Metadata'!$A$2:$A$5,'Campaign Metadata'!$C$2:$C$5),"")</f>
        <v>2024-10-31</v>
      </c>
      <c r="U199" s="27" t="str">
        <f t="shared" si="11"/>
        <v>Before</v>
      </c>
      <c r="V199" s="7">
        <f t="shared" si="12"/>
        <v>3828</v>
      </c>
    </row>
    <row r="200" spans="1:22" ht="16.5" customHeight="1" x14ac:dyDescent="0.3">
      <c r="A200" s="32" t="s">
        <v>491</v>
      </c>
      <c r="B200" s="32" t="s">
        <v>4</v>
      </c>
      <c r="C200" s="5" t="s">
        <v>98</v>
      </c>
      <c r="D200" s="32" t="s">
        <v>26</v>
      </c>
      <c r="E200" s="32" t="s">
        <v>159</v>
      </c>
      <c r="F200" s="6">
        <v>929</v>
      </c>
      <c r="G200" s="6">
        <v>192</v>
      </c>
      <c r="H200" s="6">
        <v>322</v>
      </c>
      <c r="I200" s="6">
        <v>16722</v>
      </c>
      <c r="J200" s="6">
        <v>15996</v>
      </c>
      <c r="K200" s="6">
        <v>145</v>
      </c>
      <c r="L200" s="32" t="s">
        <v>36</v>
      </c>
      <c r="M200" s="27" t="s">
        <v>39</v>
      </c>
      <c r="N200" s="27" t="s">
        <v>34</v>
      </c>
      <c r="O200" s="32" t="s">
        <v>68</v>
      </c>
      <c r="P200" s="24">
        <f t="shared" si="10"/>
        <v>8.6293505561535699E-2</v>
      </c>
      <c r="S200" s="16" t="str">
        <f>IFERROR(_xlfn.XLOOKUP(O200,'Campaign Metadata'!$A$2:$A$5,'Campaign Metadata'!$B$2:$B$5),"")</f>
        <v>2024-12-25</v>
      </c>
      <c r="T200" s="16" t="str">
        <f>IFERROR(_xlfn.XLOOKUP(O200,'Campaign Metadata'!$A$2:$A$5,'Campaign Metadata'!$C$2:$C$5),"")</f>
        <v>2025-01-10</v>
      </c>
      <c r="U200" s="27" t="str">
        <f t="shared" si="11"/>
        <v>Before</v>
      </c>
      <c r="V200" s="7">
        <f t="shared" si="12"/>
        <v>1443</v>
      </c>
    </row>
    <row r="201" spans="1:22" ht="16.5" customHeight="1" x14ac:dyDescent="0.3">
      <c r="A201" s="32" t="s">
        <v>492</v>
      </c>
      <c r="B201" s="32" t="s">
        <v>3</v>
      </c>
      <c r="C201" s="5" t="s">
        <v>493</v>
      </c>
      <c r="D201" s="32" t="s">
        <v>30</v>
      </c>
      <c r="E201" s="32" t="s">
        <v>197</v>
      </c>
      <c r="F201" s="6">
        <v>1430</v>
      </c>
      <c r="G201" s="6">
        <v>376</v>
      </c>
      <c r="H201" s="6">
        <v>33</v>
      </c>
      <c r="I201" s="6">
        <v>21450</v>
      </c>
      <c r="J201" s="6">
        <v>20509</v>
      </c>
      <c r="K201" s="6">
        <v>251</v>
      </c>
      <c r="L201" s="32" t="s">
        <v>37</v>
      </c>
      <c r="O201" s="32" t="s">
        <v>67</v>
      </c>
      <c r="P201" s="24">
        <f t="shared" si="10"/>
        <v>8.5734265734265735E-2</v>
      </c>
      <c r="S201" s="16" t="str">
        <f>IFERROR(_xlfn.XLOOKUP(O201,'Campaign Metadata'!$A$2:$A$5,'Campaign Metadata'!$B$2:$B$5),"")</f>
        <v>2024-06-15</v>
      </c>
      <c r="T201" s="16" t="str">
        <f>IFERROR(_xlfn.XLOOKUP(O201,'Campaign Metadata'!$A$2:$A$5,'Campaign Metadata'!$C$2:$C$5),"")</f>
        <v>2024-07-15</v>
      </c>
      <c r="U201" s="27" t="str">
        <f t="shared" si="11"/>
        <v>Before</v>
      </c>
      <c r="V201" s="7">
        <f t="shared" si="12"/>
        <v>1839</v>
      </c>
    </row>
    <row r="202" spans="1:22" ht="16.5" customHeight="1" x14ac:dyDescent="0.3">
      <c r="A202" s="32" t="s">
        <v>494</v>
      </c>
      <c r="B202" s="32" t="s">
        <v>3</v>
      </c>
      <c r="C202" s="5" t="s">
        <v>495</v>
      </c>
      <c r="D202" s="32" t="s">
        <v>27</v>
      </c>
      <c r="E202" s="32" t="s">
        <v>173</v>
      </c>
      <c r="F202" s="6">
        <v>4619</v>
      </c>
      <c r="G202" s="6">
        <v>821</v>
      </c>
      <c r="H202" s="6">
        <v>499</v>
      </c>
      <c r="I202" s="6">
        <v>69285</v>
      </c>
      <c r="J202" s="6">
        <v>69141</v>
      </c>
      <c r="K202" s="6">
        <v>298</v>
      </c>
      <c r="L202" s="32" t="s">
        <v>39</v>
      </c>
      <c r="O202" s="32" t="s">
        <v>70</v>
      </c>
      <c r="P202" s="24">
        <f t="shared" si="10"/>
        <v>8.5718409468138843E-2</v>
      </c>
      <c r="S202" s="16" t="str">
        <f>IFERROR(_xlfn.XLOOKUP(O202,'Campaign Metadata'!$A$2:$A$5,'Campaign Metadata'!$B$2:$B$5),"")</f>
        <v>2025-03-01</v>
      </c>
      <c r="T202" s="16" t="str">
        <f>IFERROR(_xlfn.XLOOKUP(O202,'Campaign Metadata'!$A$2:$A$5,'Campaign Metadata'!$C$2:$C$5),"")</f>
        <v>2025-03-31</v>
      </c>
      <c r="U202" s="27" t="str">
        <f t="shared" si="11"/>
        <v>Before</v>
      </c>
      <c r="V202" s="7">
        <f t="shared" si="12"/>
        <v>5939</v>
      </c>
    </row>
    <row r="203" spans="1:22" ht="16.5" customHeight="1" x14ac:dyDescent="0.3">
      <c r="A203" s="32" t="s">
        <v>496</v>
      </c>
      <c r="B203" s="32" t="s">
        <v>3</v>
      </c>
      <c r="C203" s="5" t="s">
        <v>497</v>
      </c>
      <c r="D203" s="32" t="s">
        <v>27</v>
      </c>
      <c r="E203" s="32" t="s">
        <v>173</v>
      </c>
      <c r="F203" s="6">
        <v>725</v>
      </c>
      <c r="G203" s="6">
        <v>88</v>
      </c>
      <c r="H203" s="6">
        <v>428</v>
      </c>
      <c r="I203" s="6">
        <v>14500</v>
      </c>
      <c r="J203" s="6">
        <v>13637</v>
      </c>
      <c r="K203" s="6">
        <v>200</v>
      </c>
      <c r="L203" s="32" t="s">
        <v>37</v>
      </c>
      <c r="M203" s="27" t="s">
        <v>39</v>
      </c>
      <c r="N203" s="27" t="s">
        <v>34</v>
      </c>
      <c r="O203" s="32" t="s">
        <v>68</v>
      </c>
      <c r="P203" s="24">
        <f t="shared" si="10"/>
        <v>8.558620689655172E-2</v>
      </c>
      <c r="S203" s="16" t="str">
        <f>IFERROR(_xlfn.XLOOKUP(O203,'Campaign Metadata'!$A$2:$A$5,'Campaign Metadata'!$B$2:$B$5),"")</f>
        <v>2024-12-25</v>
      </c>
      <c r="T203" s="16" t="str">
        <f>IFERROR(_xlfn.XLOOKUP(O203,'Campaign Metadata'!$A$2:$A$5,'Campaign Metadata'!$C$2:$C$5),"")</f>
        <v>2025-01-10</v>
      </c>
      <c r="U203" s="27" t="str">
        <f t="shared" si="11"/>
        <v>Before</v>
      </c>
      <c r="V203" s="7">
        <f t="shared" si="12"/>
        <v>1241</v>
      </c>
    </row>
    <row r="204" spans="1:22" ht="16.5" customHeight="1" x14ac:dyDescent="0.3">
      <c r="A204" s="32" t="s">
        <v>498</v>
      </c>
      <c r="B204" s="32" t="s">
        <v>5</v>
      </c>
      <c r="C204" s="5" t="s">
        <v>397</v>
      </c>
      <c r="D204" s="32" t="s">
        <v>26</v>
      </c>
      <c r="E204" s="32" t="s">
        <v>165</v>
      </c>
      <c r="F204" s="6">
        <v>2509</v>
      </c>
      <c r="G204" s="6">
        <v>324</v>
      </c>
      <c r="H204" s="6">
        <v>171</v>
      </c>
      <c r="I204" s="6">
        <v>35126</v>
      </c>
      <c r="J204" s="6">
        <v>34685</v>
      </c>
      <c r="K204" s="6">
        <v>277</v>
      </c>
      <c r="L204" s="32" t="s">
        <v>39</v>
      </c>
      <c r="O204" s="32" t="s">
        <v>69</v>
      </c>
      <c r="P204" s="24">
        <f t="shared" si="10"/>
        <v>8.5520696919660646E-2</v>
      </c>
      <c r="S204" s="16" t="str">
        <f>IFERROR(_xlfn.XLOOKUP(O204,'Campaign Metadata'!$A$2:$A$5,'Campaign Metadata'!$B$2:$B$5),"")</f>
        <v>2024-10-01</v>
      </c>
      <c r="T204" s="16" t="str">
        <f>IFERROR(_xlfn.XLOOKUP(O204,'Campaign Metadata'!$A$2:$A$5,'Campaign Metadata'!$C$2:$C$5),"")</f>
        <v>2024-10-31</v>
      </c>
      <c r="U204" s="27" t="str">
        <f t="shared" si="11"/>
        <v>Before</v>
      </c>
      <c r="V204" s="7">
        <f t="shared" si="12"/>
        <v>3004</v>
      </c>
    </row>
    <row r="205" spans="1:22" ht="16.5" customHeight="1" x14ac:dyDescent="0.3">
      <c r="A205" s="32" t="s">
        <v>499</v>
      </c>
      <c r="B205" s="32" t="s">
        <v>5</v>
      </c>
      <c r="C205" s="5" t="s">
        <v>248</v>
      </c>
      <c r="D205" s="32" t="s">
        <v>28</v>
      </c>
      <c r="E205" s="32" t="s">
        <v>237</v>
      </c>
      <c r="F205" s="6">
        <v>2728</v>
      </c>
      <c r="G205" s="6">
        <v>533</v>
      </c>
      <c r="H205" s="6">
        <v>215</v>
      </c>
      <c r="I205" s="6">
        <v>40920</v>
      </c>
      <c r="J205" s="6">
        <v>40816</v>
      </c>
      <c r="K205" s="6">
        <v>137</v>
      </c>
      <c r="L205" s="32" t="s">
        <v>37</v>
      </c>
      <c r="O205" s="32" t="s">
        <v>69</v>
      </c>
      <c r="P205" s="24">
        <f t="shared" si="10"/>
        <v>8.4946236559139784E-2</v>
      </c>
      <c r="S205" s="16" t="str">
        <f>IFERROR(_xlfn.XLOOKUP(O205,'Campaign Metadata'!$A$2:$A$5,'Campaign Metadata'!$B$2:$B$5),"")</f>
        <v>2024-10-01</v>
      </c>
      <c r="T205" s="16" t="str">
        <f>IFERROR(_xlfn.XLOOKUP(O205,'Campaign Metadata'!$A$2:$A$5,'Campaign Metadata'!$C$2:$C$5),"")</f>
        <v>2024-10-31</v>
      </c>
      <c r="U205" s="27" t="str">
        <f t="shared" si="11"/>
        <v>Before</v>
      </c>
      <c r="V205" s="7">
        <f t="shared" si="12"/>
        <v>3476</v>
      </c>
    </row>
    <row r="206" spans="1:22" ht="16.5" customHeight="1" x14ac:dyDescent="0.3">
      <c r="A206" s="32" t="s">
        <v>500</v>
      </c>
      <c r="B206" s="32" t="s">
        <v>2</v>
      </c>
      <c r="C206" s="5" t="s">
        <v>467</v>
      </c>
      <c r="D206" s="32" t="s">
        <v>26</v>
      </c>
      <c r="E206" s="32" t="s">
        <v>273</v>
      </c>
      <c r="F206" s="6">
        <v>4292</v>
      </c>
      <c r="G206" s="6">
        <v>51</v>
      </c>
      <c r="H206" s="6">
        <v>392</v>
      </c>
      <c r="I206" s="6">
        <v>55796</v>
      </c>
      <c r="J206" s="6">
        <v>54826</v>
      </c>
      <c r="K206" s="6">
        <v>264</v>
      </c>
      <c r="L206" s="32" t="s">
        <v>36</v>
      </c>
      <c r="O206" s="32" t="s">
        <v>68</v>
      </c>
      <c r="P206" s="24">
        <f t="shared" si="10"/>
        <v>8.4862714173059003E-2</v>
      </c>
      <c r="S206" s="16" t="str">
        <f>IFERROR(_xlfn.XLOOKUP(O206,'Campaign Metadata'!$A$2:$A$5,'Campaign Metadata'!$B$2:$B$5),"")</f>
        <v>2024-12-25</v>
      </c>
      <c r="T206" s="16" t="str">
        <f>IFERROR(_xlfn.XLOOKUP(O206,'Campaign Metadata'!$A$2:$A$5,'Campaign Metadata'!$C$2:$C$5),"")</f>
        <v>2025-01-10</v>
      </c>
      <c r="U206" s="27" t="str">
        <f t="shared" si="11"/>
        <v>Before</v>
      </c>
      <c r="V206" s="7">
        <f t="shared" si="12"/>
        <v>4735</v>
      </c>
    </row>
    <row r="207" spans="1:22" ht="16.5" customHeight="1" x14ac:dyDescent="0.3">
      <c r="A207" s="32" t="s">
        <v>501</v>
      </c>
      <c r="B207" s="32" t="s">
        <v>5</v>
      </c>
      <c r="C207" s="5" t="s">
        <v>164</v>
      </c>
      <c r="D207" s="32" t="s">
        <v>29</v>
      </c>
      <c r="E207" s="32" t="s">
        <v>347</v>
      </c>
      <c r="F207" s="6">
        <v>4350</v>
      </c>
      <c r="G207" s="6">
        <v>771</v>
      </c>
      <c r="H207" s="6">
        <v>7</v>
      </c>
      <c r="I207" s="6">
        <v>60900</v>
      </c>
      <c r="J207" s="6">
        <v>60592</v>
      </c>
      <c r="K207" s="6">
        <v>195</v>
      </c>
      <c r="L207" s="32" t="s">
        <v>36</v>
      </c>
      <c r="O207" s="32" t="s">
        <v>67</v>
      </c>
      <c r="P207" s="24">
        <f t="shared" si="10"/>
        <v>8.4203612479474554E-2</v>
      </c>
      <c r="S207" s="16" t="str">
        <f>IFERROR(_xlfn.XLOOKUP(O207,'Campaign Metadata'!$A$2:$A$5,'Campaign Metadata'!$B$2:$B$5),"")</f>
        <v>2024-06-15</v>
      </c>
      <c r="T207" s="16" t="str">
        <f>IFERROR(_xlfn.XLOOKUP(O207,'Campaign Metadata'!$A$2:$A$5,'Campaign Metadata'!$C$2:$C$5),"")</f>
        <v>2024-07-15</v>
      </c>
      <c r="U207" s="27" t="str">
        <f t="shared" si="11"/>
        <v>Before</v>
      </c>
      <c r="V207" s="7">
        <f t="shared" si="12"/>
        <v>5128</v>
      </c>
    </row>
    <row r="208" spans="1:22" ht="16.5" customHeight="1" x14ac:dyDescent="0.3">
      <c r="A208" s="32" t="s">
        <v>502</v>
      </c>
      <c r="B208" s="32" t="s">
        <v>3</v>
      </c>
      <c r="C208" s="5" t="s">
        <v>503</v>
      </c>
      <c r="D208" s="32" t="s">
        <v>28</v>
      </c>
      <c r="E208" s="32" t="s">
        <v>148</v>
      </c>
      <c r="F208" s="6">
        <v>4579</v>
      </c>
      <c r="G208" s="6">
        <v>125</v>
      </c>
      <c r="H208" s="6">
        <v>300</v>
      </c>
      <c r="I208" s="6">
        <v>59527</v>
      </c>
      <c r="J208" s="6">
        <v>59400</v>
      </c>
      <c r="K208" s="6">
        <v>269</v>
      </c>
      <c r="L208" s="32" t="s">
        <v>36</v>
      </c>
      <c r="O208" s="32" t="s">
        <v>67</v>
      </c>
      <c r="P208" s="24">
        <f t="shared" si="10"/>
        <v>8.4062694239588759E-2</v>
      </c>
      <c r="S208" s="16" t="str">
        <f>IFERROR(_xlfn.XLOOKUP(O208,'Campaign Metadata'!$A$2:$A$5,'Campaign Metadata'!$B$2:$B$5),"")</f>
        <v>2024-06-15</v>
      </c>
      <c r="T208" s="16" t="str">
        <f>IFERROR(_xlfn.XLOOKUP(O208,'Campaign Metadata'!$A$2:$A$5,'Campaign Metadata'!$C$2:$C$5),"")</f>
        <v>2024-07-15</v>
      </c>
      <c r="U208" s="27" t="str">
        <f t="shared" si="11"/>
        <v>Before</v>
      </c>
      <c r="V208" s="7">
        <f t="shared" si="12"/>
        <v>5004</v>
      </c>
    </row>
    <row r="209" spans="1:22" ht="16.5" customHeight="1" x14ac:dyDescent="0.3">
      <c r="A209" s="32" t="s">
        <v>504</v>
      </c>
      <c r="B209" s="32" t="s">
        <v>3</v>
      </c>
      <c r="C209" s="5" t="s">
        <v>505</v>
      </c>
      <c r="D209" s="32" t="s">
        <v>26</v>
      </c>
      <c r="E209" s="32" t="s">
        <v>186</v>
      </c>
      <c r="F209" s="6">
        <v>2107</v>
      </c>
      <c r="G209" s="6">
        <v>550</v>
      </c>
      <c r="H209" s="6">
        <v>349</v>
      </c>
      <c r="I209" s="6">
        <v>35819</v>
      </c>
      <c r="J209" s="6">
        <v>35340</v>
      </c>
      <c r="K209" s="6">
        <v>191</v>
      </c>
      <c r="L209" s="32" t="s">
        <v>36</v>
      </c>
      <c r="O209" s="32" t="s">
        <v>70</v>
      </c>
      <c r="P209" s="24">
        <f t="shared" si="10"/>
        <v>8.3921940869371006E-2</v>
      </c>
      <c r="S209" s="16" t="str">
        <f>IFERROR(_xlfn.XLOOKUP(O209,'Campaign Metadata'!$A$2:$A$5,'Campaign Metadata'!$B$2:$B$5),"")</f>
        <v>2025-03-01</v>
      </c>
      <c r="T209" s="16" t="str">
        <f>IFERROR(_xlfn.XLOOKUP(O209,'Campaign Metadata'!$A$2:$A$5,'Campaign Metadata'!$C$2:$C$5),"")</f>
        <v>2025-03-31</v>
      </c>
      <c r="U209" s="27" t="str">
        <f t="shared" si="11"/>
        <v>Before</v>
      </c>
      <c r="V209" s="7">
        <f t="shared" si="12"/>
        <v>3006</v>
      </c>
    </row>
    <row r="210" spans="1:22" ht="16.5" customHeight="1" x14ac:dyDescent="0.3">
      <c r="A210" s="32" t="s">
        <v>506</v>
      </c>
      <c r="B210" s="32" t="s">
        <v>4</v>
      </c>
      <c r="C210" s="5" t="s">
        <v>370</v>
      </c>
      <c r="D210" s="32" t="s">
        <v>28</v>
      </c>
      <c r="E210" s="32" t="s">
        <v>177</v>
      </c>
      <c r="F210" s="6">
        <v>1644</v>
      </c>
      <c r="G210" s="6">
        <v>546</v>
      </c>
      <c r="H210" s="6">
        <v>150</v>
      </c>
      <c r="I210" s="6">
        <v>27948</v>
      </c>
      <c r="J210" s="6">
        <v>27184</v>
      </c>
      <c r="K210" s="6">
        <v>300</v>
      </c>
      <c r="L210" s="32" t="s">
        <v>36</v>
      </c>
      <c r="O210" s="32" t="s">
        <v>68</v>
      </c>
      <c r="P210" s="24">
        <f t="shared" si="10"/>
        <v>8.3726921425504502E-2</v>
      </c>
      <c r="S210" s="16" t="str">
        <f>IFERROR(_xlfn.XLOOKUP(O210,'Campaign Metadata'!$A$2:$A$5,'Campaign Metadata'!$B$2:$B$5),"")</f>
        <v>2024-12-25</v>
      </c>
      <c r="T210" s="16" t="str">
        <f>IFERROR(_xlfn.XLOOKUP(O210,'Campaign Metadata'!$A$2:$A$5,'Campaign Metadata'!$C$2:$C$5),"")</f>
        <v>2025-01-10</v>
      </c>
      <c r="U210" s="27" t="str">
        <f t="shared" si="11"/>
        <v>Before</v>
      </c>
      <c r="V210" s="7">
        <f t="shared" si="12"/>
        <v>2340</v>
      </c>
    </row>
    <row r="211" spans="1:22" ht="16.5" customHeight="1" x14ac:dyDescent="0.3">
      <c r="A211" s="32" t="s">
        <v>507</v>
      </c>
      <c r="B211" s="32" t="s">
        <v>4</v>
      </c>
      <c r="C211" s="5" t="s">
        <v>230</v>
      </c>
      <c r="D211" s="32" t="s">
        <v>26</v>
      </c>
      <c r="E211" s="32" t="s">
        <v>159</v>
      </c>
      <c r="F211" s="6">
        <v>4494</v>
      </c>
      <c r="G211" s="6">
        <v>717</v>
      </c>
      <c r="H211" s="6">
        <v>45</v>
      </c>
      <c r="I211" s="6">
        <v>62916</v>
      </c>
      <c r="J211" s="6">
        <v>62688</v>
      </c>
      <c r="K211" s="6">
        <v>191</v>
      </c>
      <c r="L211" s="32" t="s">
        <v>39</v>
      </c>
      <c r="M211" s="27" t="s">
        <v>36</v>
      </c>
      <c r="N211" s="27" t="s">
        <v>35</v>
      </c>
      <c r="O211" s="32" t="s">
        <v>67</v>
      </c>
      <c r="P211" s="24">
        <f t="shared" si="10"/>
        <v>8.3539958039290485E-2</v>
      </c>
      <c r="S211" s="16" t="str">
        <f>IFERROR(_xlfn.XLOOKUP(O211,'Campaign Metadata'!$A$2:$A$5,'Campaign Metadata'!$B$2:$B$5),"")</f>
        <v>2024-06-15</v>
      </c>
      <c r="T211" s="16" t="str">
        <f>IFERROR(_xlfn.XLOOKUP(O211,'Campaign Metadata'!$A$2:$A$5,'Campaign Metadata'!$C$2:$C$5),"")</f>
        <v>2024-07-15</v>
      </c>
      <c r="U211" s="27" t="str">
        <f t="shared" si="11"/>
        <v>Before</v>
      </c>
      <c r="V211" s="7">
        <f t="shared" si="12"/>
        <v>5256</v>
      </c>
    </row>
    <row r="212" spans="1:22" ht="16.5" customHeight="1" x14ac:dyDescent="0.3">
      <c r="A212" s="32" t="s">
        <v>508</v>
      </c>
      <c r="B212" s="32" t="s">
        <v>5</v>
      </c>
      <c r="C212" s="5" t="s">
        <v>106</v>
      </c>
      <c r="D212" s="32" t="s">
        <v>31</v>
      </c>
      <c r="E212" s="32" t="s">
        <v>207</v>
      </c>
      <c r="F212" s="6">
        <v>4275</v>
      </c>
      <c r="G212" s="6">
        <v>680</v>
      </c>
      <c r="H212" s="6">
        <v>385</v>
      </c>
      <c r="I212" s="6">
        <v>64125</v>
      </c>
      <c r="J212" s="6">
        <v>63650</v>
      </c>
      <c r="K212" s="6">
        <v>104</v>
      </c>
      <c r="L212" s="32" t="s">
        <v>36</v>
      </c>
      <c r="M212" s="27" t="s">
        <v>39</v>
      </c>
      <c r="N212" s="27" t="s">
        <v>34</v>
      </c>
      <c r="O212" s="32" t="s">
        <v>70</v>
      </c>
      <c r="P212" s="24">
        <f t="shared" si="10"/>
        <v>8.3274853801169585E-2</v>
      </c>
      <c r="S212" s="16" t="str">
        <f>IFERROR(_xlfn.XLOOKUP(O212,'Campaign Metadata'!$A$2:$A$5,'Campaign Metadata'!$B$2:$B$5),"")</f>
        <v>2025-03-01</v>
      </c>
      <c r="T212" s="16" t="str">
        <f>IFERROR(_xlfn.XLOOKUP(O212,'Campaign Metadata'!$A$2:$A$5,'Campaign Metadata'!$C$2:$C$5),"")</f>
        <v>2025-03-31</v>
      </c>
      <c r="U212" s="27" t="str">
        <f t="shared" si="11"/>
        <v>Before</v>
      </c>
      <c r="V212" s="7">
        <f t="shared" si="12"/>
        <v>5340</v>
      </c>
    </row>
    <row r="213" spans="1:22" ht="16.5" customHeight="1" x14ac:dyDescent="0.3">
      <c r="A213" s="32" t="s">
        <v>509</v>
      </c>
      <c r="B213" s="32" t="s">
        <v>3</v>
      </c>
      <c r="C213" s="5" t="s">
        <v>510</v>
      </c>
      <c r="D213" s="32" t="s">
        <v>27</v>
      </c>
      <c r="E213" s="32" t="s">
        <v>173</v>
      </c>
      <c r="F213" s="6">
        <v>4853</v>
      </c>
      <c r="G213" s="6">
        <v>837</v>
      </c>
      <c r="H213" s="6">
        <v>340</v>
      </c>
      <c r="I213" s="6">
        <v>72795</v>
      </c>
      <c r="J213" s="6">
        <v>72237</v>
      </c>
      <c r="K213" s="6">
        <v>170</v>
      </c>
      <c r="L213" s="32" t="s">
        <v>36</v>
      </c>
      <c r="O213" s="32" t="s">
        <v>67</v>
      </c>
      <c r="P213" s="24">
        <f t="shared" si="10"/>
        <v>8.2835359571399134E-2</v>
      </c>
      <c r="S213" s="16" t="str">
        <f>IFERROR(_xlfn.XLOOKUP(O213,'Campaign Metadata'!$A$2:$A$5,'Campaign Metadata'!$B$2:$B$5),"")</f>
        <v>2024-06-15</v>
      </c>
      <c r="T213" s="16" t="str">
        <f>IFERROR(_xlfn.XLOOKUP(O213,'Campaign Metadata'!$A$2:$A$5,'Campaign Metadata'!$C$2:$C$5),"")</f>
        <v>2024-07-15</v>
      </c>
      <c r="U213" s="27" t="str">
        <f t="shared" si="11"/>
        <v>Before</v>
      </c>
      <c r="V213" s="7">
        <f t="shared" si="12"/>
        <v>6030</v>
      </c>
    </row>
    <row r="214" spans="1:22" ht="16.5" customHeight="1" x14ac:dyDescent="0.3">
      <c r="A214" s="32" t="s">
        <v>511</v>
      </c>
      <c r="B214" s="32" t="s">
        <v>4</v>
      </c>
      <c r="C214" s="5" t="s">
        <v>512</v>
      </c>
      <c r="D214" s="32" t="s">
        <v>31</v>
      </c>
      <c r="E214" s="32" t="s">
        <v>249</v>
      </c>
      <c r="F214" s="6">
        <v>3160</v>
      </c>
      <c r="G214" s="6">
        <v>204</v>
      </c>
      <c r="H214" s="6">
        <v>297</v>
      </c>
      <c r="I214" s="6">
        <v>44240</v>
      </c>
      <c r="J214" s="6">
        <v>43666</v>
      </c>
      <c r="K214" s="6">
        <v>49</v>
      </c>
      <c r="L214" s="32" t="s">
        <v>37</v>
      </c>
      <c r="M214" s="27" t="s">
        <v>34</v>
      </c>
      <c r="O214" s="32" t="s">
        <v>70</v>
      </c>
      <c r="P214" s="24">
        <f t="shared" si="10"/>
        <v>8.2753164556962022E-2</v>
      </c>
      <c r="S214" s="16" t="str">
        <f>IFERROR(_xlfn.XLOOKUP(O214,'Campaign Metadata'!$A$2:$A$5,'Campaign Metadata'!$B$2:$B$5),"")</f>
        <v>2025-03-01</v>
      </c>
      <c r="T214" s="16" t="str">
        <f>IFERROR(_xlfn.XLOOKUP(O214,'Campaign Metadata'!$A$2:$A$5,'Campaign Metadata'!$C$2:$C$5),"")</f>
        <v>2025-03-31</v>
      </c>
      <c r="U214" s="27" t="str">
        <f t="shared" si="11"/>
        <v>During</v>
      </c>
      <c r="V214" s="7">
        <f t="shared" si="12"/>
        <v>3661</v>
      </c>
    </row>
    <row r="215" spans="1:22" ht="16.5" customHeight="1" x14ac:dyDescent="0.3">
      <c r="A215" s="32" t="s">
        <v>513</v>
      </c>
      <c r="B215" s="32" t="s">
        <v>2</v>
      </c>
      <c r="C215" s="5" t="s">
        <v>493</v>
      </c>
      <c r="D215" s="32" t="s">
        <v>26</v>
      </c>
      <c r="E215" s="32" t="s">
        <v>273</v>
      </c>
      <c r="F215" s="6">
        <v>2696</v>
      </c>
      <c r="G215" s="6">
        <v>628</v>
      </c>
      <c r="H215" s="6">
        <v>443</v>
      </c>
      <c r="I215" s="6">
        <v>45832</v>
      </c>
      <c r="J215" s="6">
        <v>45632</v>
      </c>
      <c r="K215" s="6">
        <v>248</v>
      </c>
      <c r="L215" s="32" t="s">
        <v>36</v>
      </c>
      <c r="O215" s="32" t="s">
        <v>70</v>
      </c>
      <c r="P215" s="24">
        <f t="shared" si="10"/>
        <v>8.21914819340199E-2</v>
      </c>
      <c r="S215" s="16" t="str">
        <f>IFERROR(_xlfn.XLOOKUP(O215,'Campaign Metadata'!$A$2:$A$5,'Campaign Metadata'!$B$2:$B$5),"")</f>
        <v>2025-03-01</v>
      </c>
      <c r="T215" s="16" t="str">
        <f>IFERROR(_xlfn.XLOOKUP(O215,'Campaign Metadata'!$A$2:$A$5,'Campaign Metadata'!$C$2:$C$5),"")</f>
        <v>2025-03-31</v>
      </c>
      <c r="U215" s="27" t="str">
        <f t="shared" si="11"/>
        <v>Before</v>
      </c>
      <c r="V215" s="7">
        <f t="shared" si="12"/>
        <v>3767</v>
      </c>
    </row>
    <row r="216" spans="1:22" ht="16.5" customHeight="1" x14ac:dyDescent="0.3">
      <c r="A216" s="32" t="s">
        <v>514</v>
      </c>
      <c r="B216" s="32" t="s">
        <v>2</v>
      </c>
      <c r="C216" s="5" t="s">
        <v>144</v>
      </c>
      <c r="D216" s="32" t="s">
        <v>27</v>
      </c>
      <c r="E216" s="32" t="s">
        <v>183</v>
      </c>
      <c r="F216" s="6">
        <v>1871</v>
      </c>
      <c r="G216" s="6">
        <v>252</v>
      </c>
      <c r="H216" s="6">
        <v>335</v>
      </c>
      <c r="I216" s="6">
        <v>29936</v>
      </c>
      <c r="J216" s="6">
        <v>29576</v>
      </c>
      <c r="K216" s="6">
        <v>288</v>
      </c>
      <c r="L216" s="32" t="s">
        <v>36</v>
      </c>
      <c r="O216" s="32" t="s">
        <v>68</v>
      </c>
      <c r="P216" s="24">
        <f t="shared" si="10"/>
        <v>8.2108498129342594E-2</v>
      </c>
      <c r="S216" s="16" t="str">
        <f>IFERROR(_xlfn.XLOOKUP(O216,'Campaign Metadata'!$A$2:$A$5,'Campaign Metadata'!$B$2:$B$5),"")</f>
        <v>2024-12-25</v>
      </c>
      <c r="T216" s="16" t="str">
        <f>IFERROR(_xlfn.XLOOKUP(O216,'Campaign Metadata'!$A$2:$A$5,'Campaign Metadata'!$C$2:$C$5),"")</f>
        <v>2025-01-10</v>
      </c>
      <c r="U216" s="27" t="str">
        <f t="shared" si="11"/>
        <v>Before</v>
      </c>
      <c r="V216" s="7">
        <f t="shared" si="12"/>
        <v>2458</v>
      </c>
    </row>
    <row r="217" spans="1:22" ht="16.5" customHeight="1" x14ac:dyDescent="0.3">
      <c r="A217" s="32" t="s">
        <v>515</v>
      </c>
      <c r="B217" s="32" t="s">
        <v>4</v>
      </c>
      <c r="C217" s="5" t="s">
        <v>88</v>
      </c>
      <c r="D217" s="32" t="s">
        <v>27</v>
      </c>
      <c r="E217" s="32" t="s">
        <v>162</v>
      </c>
      <c r="F217" s="6">
        <v>954</v>
      </c>
      <c r="G217" s="6">
        <v>324</v>
      </c>
      <c r="H217" s="6">
        <v>288</v>
      </c>
      <c r="I217" s="6">
        <v>19080</v>
      </c>
      <c r="J217" s="6">
        <v>18859</v>
      </c>
      <c r="K217" s="6">
        <v>21</v>
      </c>
      <c r="L217" s="32" t="s">
        <v>37</v>
      </c>
      <c r="O217" s="32" t="s">
        <v>70</v>
      </c>
      <c r="P217" s="24">
        <f t="shared" si="10"/>
        <v>8.2075471698113203E-2</v>
      </c>
      <c r="S217" s="16" t="str">
        <f>IFERROR(_xlfn.XLOOKUP(O217,'Campaign Metadata'!$A$2:$A$5,'Campaign Metadata'!$B$2:$B$5),"")</f>
        <v>2025-03-01</v>
      </c>
      <c r="T217" s="16" t="str">
        <f>IFERROR(_xlfn.XLOOKUP(O217,'Campaign Metadata'!$A$2:$A$5,'Campaign Metadata'!$C$2:$C$5),"")</f>
        <v>2025-03-31</v>
      </c>
      <c r="U217" s="27" t="str">
        <f t="shared" si="11"/>
        <v>Before</v>
      </c>
      <c r="V217" s="7">
        <f t="shared" si="12"/>
        <v>1566</v>
      </c>
    </row>
    <row r="218" spans="1:22" ht="16.5" customHeight="1" x14ac:dyDescent="0.3">
      <c r="A218" s="32" t="s">
        <v>516</v>
      </c>
      <c r="B218" s="32" t="s">
        <v>2</v>
      </c>
      <c r="C218" s="5" t="s">
        <v>517</v>
      </c>
      <c r="D218" s="32" t="s">
        <v>27</v>
      </c>
      <c r="E218" s="32" t="s">
        <v>183</v>
      </c>
      <c r="F218" s="6">
        <v>2878</v>
      </c>
      <c r="G218" s="6">
        <v>248</v>
      </c>
      <c r="H218" s="6">
        <v>416</v>
      </c>
      <c r="I218" s="6">
        <v>43170</v>
      </c>
      <c r="J218" s="6">
        <v>42667</v>
      </c>
      <c r="K218" s="6">
        <v>75</v>
      </c>
      <c r="L218" s="32" t="s">
        <v>37</v>
      </c>
      <c r="O218" s="32" t="s">
        <v>68</v>
      </c>
      <c r="P218" s="24">
        <f t="shared" si="10"/>
        <v>8.2047718322909427E-2</v>
      </c>
      <c r="S218" s="16" t="str">
        <f>IFERROR(_xlfn.XLOOKUP(O218,'Campaign Metadata'!$A$2:$A$5,'Campaign Metadata'!$B$2:$B$5),"")</f>
        <v>2024-12-25</v>
      </c>
      <c r="T218" s="16" t="str">
        <f>IFERROR(_xlfn.XLOOKUP(O218,'Campaign Metadata'!$A$2:$A$5,'Campaign Metadata'!$C$2:$C$5),"")</f>
        <v>2025-01-10</v>
      </c>
      <c r="U218" s="27" t="str">
        <f t="shared" si="11"/>
        <v>Before</v>
      </c>
      <c r="V218" s="7">
        <f t="shared" si="12"/>
        <v>3542</v>
      </c>
    </row>
    <row r="219" spans="1:22" ht="16.5" customHeight="1" x14ac:dyDescent="0.3">
      <c r="A219" s="32" t="s">
        <v>518</v>
      </c>
      <c r="B219" s="32" t="s">
        <v>3</v>
      </c>
      <c r="C219" s="5" t="s">
        <v>90</v>
      </c>
      <c r="D219" s="32" t="s">
        <v>29</v>
      </c>
      <c r="E219" s="32" t="s">
        <v>145</v>
      </c>
      <c r="F219" s="6">
        <v>4808</v>
      </c>
      <c r="G219" s="6">
        <v>772</v>
      </c>
      <c r="H219" s="6">
        <v>320</v>
      </c>
      <c r="I219" s="6">
        <v>72120</v>
      </c>
      <c r="J219" s="6">
        <v>71696</v>
      </c>
      <c r="K219" s="6">
        <v>195</v>
      </c>
      <c r="L219" s="32" t="s">
        <v>36</v>
      </c>
      <c r="O219" s="32" t="s">
        <v>67</v>
      </c>
      <c r="P219" s="24">
        <f t="shared" si="10"/>
        <v>8.1808097615085965E-2</v>
      </c>
      <c r="S219" s="16" t="str">
        <f>IFERROR(_xlfn.XLOOKUP(O219,'Campaign Metadata'!$A$2:$A$5,'Campaign Metadata'!$B$2:$B$5),"")</f>
        <v>2024-06-15</v>
      </c>
      <c r="T219" s="16" t="str">
        <f>IFERROR(_xlfn.XLOOKUP(O219,'Campaign Metadata'!$A$2:$A$5,'Campaign Metadata'!$C$2:$C$5),"")</f>
        <v>2024-07-15</v>
      </c>
      <c r="U219" s="27" t="str">
        <f t="shared" si="11"/>
        <v>During</v>
      </c>
      <c r="V219" s="7">
        <f t="shared" si="12"/>
        <v>5900</v>
      </c>
    </row>
    <row r="220" spans="1:22" ht="16.5" customHeight="1" x14ac:dyDescent="0.3">
      <c r="A220" s="32" t="s">
        <v>519</v>
      </c>
      <c r="B220" s="32" t="s">
        <v>4</v>
      </c>
      <c r="C220" s="5" t="s">
        <v>153</v>
      </c>
      <c r="D220" s="32" t="s">
        <v>29</v>
      </c>
      <c r="E220" s="32" t="s">
        <v>151</v>
      </c>
      <c r="F220" s="6">
        <v>1121</v>
      </c>
      <c r="G220" s="6">
        <v>135</v>
      </c>
      <c r="H220" s="6">
        <v>18</v>
      </c>
      <c r="I220" s="6">
        <v>15694</v>
      </c>
      <c r="J220" s="6">
        <v>14957</v>
      </c>
      <c r="K220" s="6">
        <v>99</v>
      </c>
      <c r="L220" s="32" t="s">
        <v>39</v>
      </c>
      <c r="O220" s="32" t="s">
        <v>70</v>
      </c>
      <c r="P220" s="24">
        <f t="shared" si="10"/>
        <v>8.1177520071364848E-2</v>
      </c>
      <c r="S220" s="16" t="str">
        <f>IFERROR(_xlfn.XLOOKUP(O220,'Campaign Metadata'!$A$2:$A$5,'Campaign Metadata'!$B$2:$B$5),"")</f>
        <v>2025-03-01</v>
      </c>
      <c r="T220" s="16" t="str">
        <f>IFERROR(_xlfn.XLOOKUP(O220,'Campaign Metadata'!$A$2:$A$5,'Campaign Metadata'!$C$2:$C$5),"")</f>
        <v>2025-03-31</v>
      </c>
      <c r="U220" s="27" t="str">
        <f t="shared" si="11"/>
        <v>Before</v>
      </c>
      <c r="V220" s="7">
        <f t="shared" si="12"/>
        <v>1274</v>
      </c>
    </row>
    <row r="221" spans="1:22" ht="16.5" customHeight="1" x14ac:dyDescent="0.3">
      <c r="A221" s="32" t="s">
        <v>520</v>
      </c>
      <c r="B221" s="32" t="s">
        <v>4</v>
      </c>
      <c r="C221" s="5" t="s">
        <v>106</v>
      </c>
      <c r="D221" s="32" t="s">
        <v>31</v>
      </c>
      <c r="E221" s="32" t="s">
        <v>249</v>
      </c>
      <c r="F221" s="6">
        <v>2825</v>
      </c>
      <c r="G221" s="6">
        <v>535</v>
      </c>
      <c r="H221" s="6">
        <v>295</v>
      </c>
      <c r="I221" s="6">
        <v>45200</v>
      </c>
      <c r="J221" s="6">
        <v>44739</v>
      </c>
      <c r="K221" s="6">
        <v>169</v>
      </c>
      <c r="L221" s="32" t="s">
        <v>39</v>
      </c>
      <c r="O221" s="32" t="s">
        <v>67</v>
      </c>
      <c r="P221" s="24">
        <f t="shared" si="10"/>
        <v>8.0862831858407078E-2</v>
      </c>
      <c r="S221" s="16" t="str">
        <f>IFERROR(_xlfn.XLOOKUP(O221,'Campaign Metadata'!$A$2:$A$5,'Campaign Metadata'!$B$2:$B$5),"")</f>
        <v>2024-06-15</v>
      </c>
      <c r="T221" s="16" t="str">
        <f>IFERROR(_xlfn.XLOOKUP(O221,'Campaign Metadata'!$A$2:$A$5,'Campaign Metadata'!$C$2:$C$5),"")</f>
        <v>2024-07-15</v>
      </c>
      <c r="U221" s="27" t="str">
        <f t="shared" si="11"/>
        <v>Before</v>
      </c>
      <c r="V221" s="7">
        <f t="shared" si="12"/>
        <v>3655</v>
      </c>
    </row>
    <row r="222" spans="1:22" ht="16.5" customHeight="1" x14ac:dyDescent="0.3">
      <c r="A222" s="32" t="s">
        <v>521</v>
      </c>
      <c r="B222" s="32" t="s">
        <v>3</v>
      </c>
      <c r="C222" s="5" t="s">
        <v>164</v>
      </c>
      <c r="D222" s="32" t="s">
        <v>30</v>
      </c>
      <c r="E222" s="32" t="s">
        <v>197</v>
      </c>
      <c r="F222" s="6">
        <v>3432</v>
      </c>
      <c r="G222" s="6">
        <v>869</v>
      </c>
      <c r="H222" s="6">
        <v>123</v>
      </c>
      <c r="I222" s="6">
        <v>54912</v>
      </c>
      <c r="J222" s="6">
        <v>53916</v>
      </c>
      <c r="K222" s="6">
        <v>264</v>
      </c>
      <c r="L222" s="32" t="s">
        <v>36</v>
      </c>
      <c r="O222" s="32" t="s">
        <v>69</v>
      </c>
      <c r="P222" s="24">
        <f t="shared" si="10"/>
        <v>8.0565268065268064E-2</v>
      </c>
      <c r="S222" s="16" t="str">
        <f>IFERROR(_xlfn.XLOOKUP(O222,'Campaign Metadata'!$A$2:$A$5,'Campaign Metadata'!$B$2:$B$5),"")</f>
        <v>2024-10-01</v>
      </c>
      <c r="T222" s="16" t="str">
        <f>IFERROR(_xlfn.XLOOKUP(O222,'Campaign Metadata'!$A$2:$A$5,'Campaign Metadata'!$C$2:$C$5),"")</f>
        <v>2024-10-31</v>
      </c>
      <c r="U222" s="27" t="str">
        <f t="shared" si="11"/>
        <v>During</v>
      </c>
      <c r="V222" s="7">
        <f t="shared" si="12"/>
        <v>4424</v>
      </c>
    </row>
    <row r="223" spans="1:22" ht="16.5" customHeight="1" x14ac:dyDescent="0.3">
      <c r="A223" s="32" t="s">
        <v>522</v>
      </c>
      <c r="B223" s="32" t="s">
        <v>2</v>
      </c>
      <c r="C223" s="5" t="s">
        <v>322</v>
      </c>
      <c r="D223" s="32" t="s">
        <v>30</v>
      </c>
      <c r="E223" s="32" t="s">
        <v>209</v>
      </c>
      <c r="F223" s="6">
        <v>1570</v>
      </c>
      <c r="G223" s="6">
        <v>187</v>
      </c>
      <c r="H223" s="6">
        <v>260</v>
      </c>
      <c r="I223" s="6">
        <v>25120</v>
      </c>
      <c r="J223" s="6">
        <v>24613</v>
      </c>
      <c r="K223" s="6">
        <v>133</v>
      </c>
      <c r="L223" s="32" t="s">
        <v>39</v>
      </c>
      <c r="O223" s="32" t="s">
        <v>70</v>
      </c>
      <c r="P223" s="24">
        <f t="shared" si="10"/>
        <v>8.0294585987261149E-2</v>
      </c>
      <c r="S223" s="16" t="str">
        <f>IFERROR(_xlfn.XLOOKUP(O223,'Campaign Metadata'!$A$2:$A$5,'Campaign Metadata'!$B$2:$B$5),"")</f>
        <v>2025-03-01</v>
      </c>
      <c r="T223" s="16" t="str">
        <f>IFERROR(_xlfn.XLOOKUP(O223,'Campaign Metadata'!$A$2:$A$5,'Campaign Metadata'!$C$2:$C$5),"")</f>
        <v>2025-03-31</v>
      </c>
      <c r="U223" s="27" t="str">
        <f t="shared" si="11"/>
        <v>Before</v>
      </c>
      <c r="V223" s="7">
        <f t="shared" si="12"/>
        <v>2017</v>
      </c>
    </row>
    <row r="224" spans="1:22" ht="16.5" customHeight="1" x14ac:dyDescent="0.3">
      <c r="A224" s="32" t="s">
        <v>523</v>
      </c>
      <c r="B224" s="32" t="s">
        <v>2</v>
      </c>
      <c r="C224" s="5" t="s">
        <v>108</v>
      </c>
      <c r="D224" s="32" t="s">
        <v>27</v>
      </c>
      <c r="E224" s="32" t="s">
        <v>183</v>
      </c>
      <c r="F224" s="6">
        <v>4551</v>
      </c>
      <c r="G224" s="6">
        <v>714</v>
      </c>
      <c r="H224" s="6">
        <v>207</v>
      </c>
      <c r="I224" s="6">
        <v>68265</v>
      </c>
      <c r="J224" s="6">
        <v>67754</v>
      </c>
      <c r="K224" s="6">
        <v>57</v>
      </c>
      <c r="L224" s="32" t="s">
        <v>37</v>
      </c>
      <c r="O224" s="32" t="s">
        <v>68</v>
      </c>
      <c r="P224" s="24">
        <f t="shared" si="10"/>
        <v>8.0158206987475278E-2</v>
      </c>
      <c r="S224" s="16" t="str">
        <f>IFERROR(_xlfn.XLOOKUP(O224,'Campaign Metadata'!$A$2:$A$5,'Campaign Metadata'!$B$2:$B$5),"")</f>
        <v>2024-12-25</v>
      </c>
      <c r="T224" s="16" t="str">
        <f>IFERROR(_xlfn.XLOOKUP(O224,'Campaign Metadata'!$A$2:$A$5,'Campaign Metadata'!$C$2:$C$5),"")</f>
        <v>2025-01-10</v>
      </c>
      <c r="U224" s="27" t="str">
        <f t="shared" si="11"/>
        <v>Before</v>
      </c>
      <c r="V224" s="7">
        <f t="shared" si="12"/>
        <v>5472</v>
      </c>
    </row>
    <row r="225" spans="1:22" ht="16.5" customHeight="1" x14ac:dyDescent="0.3">
      <c r="A225" s="32" t="s">
        <v>524</v>
      </c>
      <c r="B225" s="32" t="s">
        <v>2</v>
      </c>
      <c r="C225" s="5" t="s">
        <v>179</v>
      </c>
      <c r="D225" s="32" t="s">
        <v>27</v>
      </c>
      <c r="E225" s="32" t="s">
        <v>183</v>
      </c>
      <c r="F225" s="6">
        <v>3090</v>
      </c>
      <c r="G225" s="6">
        <v>697</v>
      </c>
      <c r="H225" s="6">
        <v>164</v>
      </c>
      <c r="I225" s="6">
        <v>49440</v>
      </c>
      <c r="J225" s="6">
        <v>48524</v>
      </c>
      <c r="K225" s="6">
        <v>25</v>
      </c>
      <c r="L225" s="32" t="s">
        <v>36</v>
      </c>
      <c r="M225" s="27" t="s">
        <v>36</v>
      </c>
      <c r="N225" s="27" t="s">
        <v>35</v>
      </c>
      <c r="O225" s="32" t="s">
        <v>69</v>
      </c>
      <c r="P225" s="24">
        <f t="shared" si="10"/>
        <v>7.9915048543689318E-2</v>
      </c>
      <c r="S225" s="16" t="str">
        <f>IFERROR(_xlfn.XLOOKUP(O225,'Campaign Metadata'!$A$2:$A$5,'Campaign Metadata'!$B$2:$B$5),"")</f>
        <v>2024-10-01</v>
      </c>
      <c r="T225" s="16" t="str">
        <f>IFERROR(_xlfn.XLOOKUP(O225,'Campaign Metadata'!$A$2:$A$5,'Campaign Metadata'!$C$2:$C$5),"")</f>
        <v>2024-10-31</v>
      </c>
      <c r="U225" s="27" t="str">
        <f t="shared" si="11"/>
        <v>Before</v>
      </c>
      <c r="V225" s="7">
        <f t="shared" si="12"/>
        <v>3951</v>
      </c>
    </row>
    <row r="226" spans="1:22" ht="16.5" customHeight="1" x14ac:dyDescent="0.3">
      <c r="A226" s="32" t="s">
        <v>525</v>
      </c>
      <c r="B226" s="32" t="s">
        <v>2</v>
      </c>
      <c r="C226" s="5" t="s">
        <v>129</v>
      </c>
      <c r="D226" s="32" t="s">
        <v>27</v>
      </c>
      <c r="E226" s="32" t="s">
        <v>183</v>
      </c>
      <c r="F226" s="6">
        <v>1263</v>
      </c>
      <c r="G226" s="6">
        <v>397</v>
      </c>
      <c r="H226" s="6">
        <v>357</v>
      </c>
      <c r="I226" s="6">
        <v>25260</v>
      </c>
      <c r="J226" s="6">
        <v>24615</v>
      </c>
      <c r="K226" s="6">
        <v>137</v>
      </c>
      <c r="L226" s="32" t="s">
        <v>36</v>
      </c>
      <c r="O226" s="32" t="s">
        <v>70</v>
      </c>
      <c r="P226" s="24">
        <f t="shared" si="10"/>
        <v>7.984956452889945E-2</v>
      </c>
      <c r="S226" s="16" t="str">
        <f>IFERROR(_xlfn.XLOOKUP(O226,'Campaign Metadata'!$A$2:$A$5,'Campaign Metadata'!$B$2:$B$5),"")</f>
        <v>2025-03-01</v>
      </c>
      <c r="T226" s="16" t="str">
        <f>IFERROR(_xlfn.XLOOKUP(O226,'Campaign Metadata'!$A$2:$A$5,'Campaign Metadata'!$C$2:$C$5),"")</f>
        <v>2025-03-31</v>
      </c>
      <c r="U226" s="27" t="str">
        <f t="shared" si="11"/>
        <v>During</v>
      </c>
      <c r="V226" s="7">
        <f t="shared" si="12"/>
        <v>2017</v>
      </c>
    </row>
    <row r="227" spans="1:22" ht="16.5" customHeight="1" x14ac:dyDescent="0.3">
      <c r="A227" s="32" t="s">
        <v>526</v>
      </c>
      <c r="B227" s="32" t="s">
        <v>4</v>
      </c>
      <c r="C227" s="5" t="s">
        <v>192</v>
      </c>
      <c r="D227" s="32" t="s">
        <v>26</v>
      </c>
      <c r="E227" s="32" t="s">
        <v>159</v>
      </c>
      <c r="F227" s="6">
        <v>3535</v>
      </c>
      <c r="G227" s="6">
        <v>494</v>
      </c>
      <c r="H227" s="6">
        <v>152</v>
      </c>
      <c r="I227" s="6">
        <v>53025</v>
      </c>
      <c r="J227" s="6">
        <v>52791</v>
      </c>
      <c r="K227" s="6">
        <v>44</v>
      </c>
      <c r="L227" s="32" t="s">
        <v>39</v>
      </c>
      <c r="O227" s="32" t="s">
        <v>70</v>
      </c>
      <c r="P227" s="24">
        <f t="shared" si="10"/>
        <v>7.8849599245638849E-2</v>
      </c>
      <c r="S227" s="16" t="str">
        <f>IFERROR(_xlfn.XLOOKUP(O227,'Campaign Metadata'!$A$2:$A$5,'Campaign Metadata'!$B$2:$B$5),"")</f>
        <v>2025-03-01</v>
      </c>
      <c r="T227" s="16" t="str">
        <f>IFERROR(_xlfn.XLOOKUP(O227,'Campaign Metadata'!$A$2:$A$5,'Campaign Metadata'!$C$2:$C$5),"")</f>
        <v>2025-03-31</v>
      </c>
      <c r="U227" s="27" t="str">
        <f t="shared" si="11"/>
        <v>Before</v>
      </c>
      <c r="V227" s="7">
        <f t="shared" si="12"/>
        <v>4181</v>
      </c>
    </row>
    <row r="228" spans="1:22" ht="16.5" customHeight="1" x14ac:dyDescent="0.3">
      <c r="A228" s="32" t="s">
        <v>527</v>
      </c>
      <c r="B228" s="32" t="s">
        <v>2</v>
      </c>
      <c r="C228" s="5" t="s">
        <v>528</v>
      </c>
      <c r="D228" s="32" t="s">
        <v>26</v>
      </c>
      <c r="E228" s="32" t="s">
        <v>273</v>
      </c>
      <c r="F228" s="6">
        <v>2200</v>
      </c>
      <c r="G228" s="6">
        <v>504</v>
      </c>
      <c r="H228" s="6">
        <v>239</v>
      </c>
      <c r="I228" s="6">
        <v>37400</v>
      </c>
      <c r="J228" s="6">
        <v>36938</v>
      </c>
      <c r="K228" s="6">
        <v>225</v>
      </c>
      <c r="L228" s="32" t="s">
        <v>37</v>
      </c>
      <c r="O228" s="32" t="s">
        <v>69</v>
      </c>
      <c r="P228" s="24">
        <f t="shared" si="10"/>
        <v>7.8689839572192513E-2</v>
      </c>
      <c r="S228" s="16" t="str">
        <f>IFERROR(_xlfn.XLOOKUP(O228,'Campaign Metadata'!$A$2:$A$5,'Campaign Metadata'!$B$2:$B$5),"")</f>
        <v>2024-10-01</v>
      </c>
      <c r="T228" s="16" t="str">
        <f>IFERROR(_xlfn.XLOOKUP(O228,'Campaign Metadata'!$A$2:$A$5,'Campaign Metadata'!$C$2:$C$5),"")</f>
        <v>2024-10-31</v>
      </c>
      <c r="U228" s="27" t="str">
        <f t="shared" si="11"/>
        <v>Before</v>
      </c>
      <c r="V228" s="7">
        <f t="shared" si="12"/>
        <v>2943</v>
      </c>
    </row>
    <row r="229" spans="1:22" ht="16.5" customHeight="1" x14ac:dyDescent="0.3">
      <c r="A229" s="32" t="s">
        <v>529</v>
      </c>
      <c r="B229" s="32" t="s">
        <v>3</v>
      </c>
      <c r="C229" s="5" t="s">
        <v>528</v>
      </c>
      <c r="D229" s="32" t="s">
        <v>29</v>
      </c>
      <c r="E229" s="32" t="s">
        <v>145</v>
      </c>
      <c r="F229" s="6">
        <v>2103</v>
      </c>
      <c r="G229" s="6">
        <v>892</v>
      </c>
      <c r="H229" s="6">
        <v>103</v>
      </c>
      <c r="I229" s="6">
        <v>39957</v>
      </c>
      <c r="J229" s="6">
        <v>39466</v>
      </c>
      <c r="K229" s="6">
        <v>28</v>
      </c>
      <c r="L229" s="32" t="s">
        <v>37</v>
      </c>
      <c r="P229" s="24">
        <f t="shared" si="10"/>
        <v>7.7533348349475686E-2</v>
      </c>
      <c r="S229" s="16" t="str">
        <f>IFERROR(_xlfn.XLOOKUP(O229,'Campaign Metadata'!$A$2:$A$5,'Campaign Metadata'!$B$2:$B$5),"")</f>
        <v/>
      </c>
      <c r="T229" s="16" t="str">
        <f>IFERROR(_xlfn.XLOOKUP(O229,'Campaign Metadata'!$A$2:$A$5,'Campaign Metadata'!$C$2:$C$5),"")</f>
        <v/>
      </c>
      <c r="U229" s="27" t="str">
        <f t="shared" si="11"/>
        <v>No Campaign</v>
      </c>
      <c r="V229" s="7">
        <f t="shared" si="12"/>
        <v>3098</v>
      </c>
    </row>
    <row r="230" spans="1:22" ht="16.5" customHeight="1" x14ac:dyDescent="0.3">
      <c r="A230" s="32" t="s">
        <v>530</v>
      </c>
      <c r="B230" s="32" t="s">
        <v>2</v>
      </c>
      <c r="C230" s="5" t="s">
        <v>92</v>
      </c>
      <c r="D230" s="32" t="s">
        <v>28</v>
      </c>
      <c r="E230" s="32" t="s">
        <v>278</v>
      </c>
      <c r="F230" s="6">
        <v>3663</v>
      </c>
      <c r="G230" s="6">
        <v>17</v>
      </c>
      <c r="H230" s="6">
        <v>295</v>
      </c>
      <c r="I230" s="6">
        <v>51282</v>
      </c>
      <c r="J230" s="6">
        <v>50567</v>
      </c>
      <c r="K230" s="6">
        <v>84</v>
      </c>
      <c r="L230" s="32" t="s">
        <v>36</v>
      </c>
      <c r="O230" s="32" t="s">
        <v>68</v>
      </c>
      <c r="P230" s="24">
        <f t="shared" si="10"/>
        <v>7.7512577512577507E-2</v>
      </c>
      <c r="S230" s="16" t="str">
        <f>IFERROR(_xlfn.XLOOKUP(O230,'Campaign Metadata'!$A$2:$A$5,'Campaign Metadata'!$B$2:$B$5),"")</f>
        <v>2024-12-25</v>
      </c>
      <c r="T230" s="16" t="str">
        <f>IFERROR(_xlfn.XLOOKUP(O230,'Campaign Metadata'!$A$2:$A$5,'Campaign Metadata'!$C$2:$C$5),"")</f>
        <v>2025-01-10</v>
      </c>
      <c r="U230" s="27" t="str">
        <f t="shared" si="11"/>
        <v>Before</v>
      </c>
      <c r="V230" s="7">
        <f t="shared" si="12"/>
        <v>3975</v>
      </c>
    </row>
    <row r="231" spans="1:22" ht="16.5" customHeight="1" x14ac:dyDescent="0.3">
      <c r="A231" s="32" t="s">
        <v>531</v>
      </c>
      <c r="B231" s="32" t="s">
        <v>4</v>
      </c>
      <c r="C231" s="5" t="s">
        <v>532</v>
      </c>
      <c r="D231" s="32" t="s">
        <v>31</v>
      </c>
      <c r="E231" s="32" t="s">
        <v>249</v>
      </c>
      <c r="F231" s="6">
        <v>1702</v>
      </c>
      <c r="G231" s="6">
        <v>750</v>
      </c>
      <c r="H231" s="6">
        <v>179</v>
      </c>
      <c r="I231" s="6">
        <v>34040</v>
      </c>
      <c r="J231" s="6">
        <v>33174</v>
      </c>
      <c r="K231" s="6">
        <v>76</v>
      </c>
      <c r="L231" s="32" t="s">
        <v>36</v>
      </c>
      <c r="O231" s="32" t="s">
        <v>67</v>
      </c>
      <c r="P231" s="24">
        <f t="shared" si="10"/>
        <v>7.7291421856639245E-2</v>
      </c>
      <c r="S231" s="16" t="str">
        <f>IFERROR(_xlfn.XLOOKUP(O231,'Campaign Metadata'!$A$2:$A$5,'Campaign Metadata'!$B$2:$B$5),"")</f>
        <v>2024-06-15</v>
      </c>
      <c r="T231" s="16" t="str">
        <f>IFERROR(_xlfn.XLOOKUP(O231,'Campaign Metadata'!$A$2:$A$5,'Campaign Metadata'!$C$2:$C$5),"")</f>
        <v>2024-07-15</v>
      </c>
      <c r="U231" s="27" t="str">
        <f t="shared" si="11"/>
        <v>During</v>
      </c>
      <c r="V231" s="7">
        <f t="shared" si="12"/>
        <v>2631</v>
      </c>
    </row>
    <row r="232" spans="1:22" ht="16.5" customHeight="1" x14ac:dyDescent="0.3">
      <c r="A232" s="32" t="s">
        <v>533</v>
      </c>
      <c r="B232" s="32" t="s">
        <v>3</v>
      </c>
      <c r="C232" s="5" t="s">
        <v>534</v>
      </c>
      <c r="D232" s="32" t="s">
        <v>28</v>
      </c>
      <c r="E232" s="32" t="s">
        <v>148</v>
      </c>
      <c r="F232" s="6">
        <v>4838</v>
      </c>
      <c r="G232" s="6">
        <v>640</v>
      </c>
      <c r="H232" s="6">
        <v>128</v>
      </c>
      <c r="I232" s="6">
        <v>72570</v>
      </c>
      <c r="J232" s="6">
        <v>72396</v>
      </c>
      <c r="K232" s="6">
        <v>83</v>
      </c>
      <c r="L232" s="32" t="s">
        <v>37</v>
      </c>
      <c r="O232" s="32" t="s">
        <v>70</v>
      </c>
      <c r="P232" s="24">
        <f t="shared" si="10"/>
        <v>7.7249552156538517E-2</v>
      </c>
      <c r="S232" s="16" t="str">
        <f>IFERROR(_xlfn.XLOOKUP(O232,'Campaign Metadata'!$A$2:$A$5,'Campaign Metadata'!$B$2:$B$5),"")</f>
        <v>2025-03-01</v>
      </c>
      <c r="T232" s="16" t="str">
        <f>IFERROR(_xlfn.XLOOKUP(O232,'Campaign Metadata'!$A$2:$A$5,'Campaign Metadata'!$C$2:$C$5),"")</f>
        <v>2025-03-31</v>
      </c>
      <c r="U232" s="27" t="str">
        <f t="shared" si="11"/>
        <v>Before</v>
      </c>
      <c r="V232" s="7">
        <f t="shared" si="12"/>
        <v>5606</v>
      </c>
    </row>
    <row r="233" spans="1:22" ht="16.5" customHeight="1" x14ac:dyDescent="0.3">
      <c r="A233" s="32" t="s">
        <v>535</v>
      </c>
      <c r="B233" s="32" t="s">
        <v>2</v>
      </c>
      <c r="C233" s="5" t="s">
        <v>536</v>
      </c>
      <c r="D233" s="32" t="s">
        <v>31</v>
      </c>
      <c r="E233" s="32" t="s">
        <v>171</v>
      </c>
      <c r="F233" s="6">
        <v>1606</v>
      </c>
      <c r="G233" s="6">
        <v>547</v>
      </c>
      <c r="H233" s="6">
        <v>316</v>
      </c>
      <c r="I233" s="6">
        <v>32120</v>
      </c>
      <c r="J233" s="6">
        <v>31736</v>
      </c>
      <c r="K233" s="6">
        <v>225</v>
      </c>
      <c r="L233" s="32" t="s">
        <v>39</v>
      </c>
      <c r="M233" s="27" t="s">
        <v>34</v>
      </c>
      <c r="O233" s="32" t="s">
        <v>69</v>
      </c>
      <c r="P233" s="24">
        <f t="shared" si="10"/>
        <v>7.6867995018679955E-2</v>
      </c>
      <c r="S233" s="16" t="str">
        <f>IFERROR(_xlfn.XLOOKUP(O233,'Campaign Metadata'!$A$2:$A$5,'Campaign Metadata'!$B$2:$B$5),"")</f>
        <v>2024-10-01</v>
      </c>
      <c r="T233" s="16" t="str">
        <f>IFERROR(_xlfn.XLOOKUP(O233,'Campaign Metadata'!$A$2:$A$5,'Campaign Metadata'!$C$2:$C$5),"")</f>
        <v>2024-10-31</v>
      </c>
      <c r="U233" s="27" t="str">
        <f t="shared" si="11"/>
        <v>Before</v>
      </c>
      <c r="V233" s="7">
        <f t="shared" si="12"/>
        <v>2469</v>
      </c>
    </row>
    <row r="234" spans="1:22" ht="16.5" customHeight="1" x14ac:dyDescent="0.3">
      <c r="A234" s="32" t="s">
        <v>537</v>
      </c>
      <c r="B234" s="32" t="s">
        <v>3</v>
      </c>
      <c r="C234" s="5" t="s">
        <v>269</v>
      </c>
      <c r="D234" s="32" t="s">
        <v>29</v>
      </c>
      <c r="E234" s="32" t="s">
        <v>145</v>
      </c>
      <c r="F234" s="6">
        <v>4518</v>
      </c>
      <c r="G234" s="6">
        <v>285</v>
      </c>
      <c r="H234" s="6">
        <v>383</v>
      </c>
      <c r="I234" s="6">
        <v>67770</v>
      </c>
      <c r="J234" s="6">
        <v>67621</v>
      </c>
      <c r="K234" s="6">
        <v>31</v>
      </c>
      <c r="L234" s="32" t="s">
        <v>36</v>
      </c>
      <c r="O234" s="32" t="s">
        <v>69</v>
      </c>
      <c r="P234" s="24">
        <f t="shared" si="10"/>
        <v>7.6523535487678915E-2</v>
      </c>
      <c r="S234" s="16" t="str">
        <f>IFERROR(_xlfn.XLOOKUP(O234,'Campaign Metadata'!$A$2:$A$5,'Campaign Metadata'!$B$2:$B$5),"")</f>
        <v>2024-10-01</v>
      </c>
      <c r="T234" s="16" t="str">
        <f>IFERROR(_xlfn.XLOOKUP(O234,'Campaign Metadata'!$A$2:$A$5,'Campaign Metadata'!$C$2:$C$5),"")</f>
        <v>2024-10-31</v>
      </c>
      <c r="U234" s="27" t="str">
        <f t="shared" si="11"/>
        <v>Before</v>
      </c>
      <c r="V234" s="7">
        <f t="shared" si="12"/>
        <v>5186</v>
      </c>
    </row>
    <row r="235" spans="1:22" ht="16.5" customHeight="1" x14ac:dyDescent="0.3">
      <c r="A235" s="32" t="s">
        <v>538</v>
      </c>
      <c r="B235" s="32" t="s">
        <v>4</v>
      </c>
      <c r="C235" s="5" t="s">
        <v>390</v>
      </c>
      <c r="D235" s="32" t="s">
        <v>30</v>
      </c>
      <c r="E235" s="32" t="s">
        <v>221</v>
      </c>
      <c r="F235" s="6">
        <v>4054</v>
      </c>
      <c r="G235" s="6">
        <v>389</v>
      </c>
      <c r="H235" s="6">
        <v>493</v>
      </c>
      <c r="I235" s="6">
        <v>64864</v>
      </c>
      <c r="J235" s="6">
        <v>64383</v>
      </c>
      <c r="K235" s="6">
        <v>117</v>
      </c>
      <c r="L235" s="32" t="s">
        <v>39</v>
      </c>
      <c r="M235" s="27" t="s">
        <v>35</v>
      </c>
      <c r="O235" s="32" t="s">
        <v>69</v>
      </c>
      <c r="P235" s="24">
        <f t="shared" si="10"/>
        <v>7.6097681302417369E-2</v>
      </c>
      <c r="S235" s="16" t="str">
        <f>IFERROR(_xlfn.XLOOKUP(O235,'Campaign Metadata'!$A$2:$A$5,'Campaign Metadata'!$B$2:$B$5),"")</f>
        <v>2024-10-01</v>
      </c>
      <c r="T235" s="16" t="str">
        <f>IFERROR(_xlfn.XLOOKUP(O235,'Campaign Metadata'!$A$2:$A$5,'Campaign Metadata'!$C$2:$C$5),"")</f>
        <v>2024-10-31</v>
      </c>
      <c r="U235" s="27" t="str">
        <f t="shared" si="11"/>
        <v>Before</v>
      </c>
      <c r="V235" s="7">
        <f t="shared" si="12"/>
        <v>4936</v>
      </c>
    </row>
    <row r="236" spans="1:22" ht="16.5" customHeight="1" x14ac:dyDescent="0.3">
      <c r="A236" s="32" t="s">
        <v>539</v>
      </c>
      <c r="B236" s="32" t="s">
        <v>2</v>
      </c>
      <c r="C236" s="5" t="s">
        <v>540</v>
      </c>
      <c r="D236" s="32" t="s">
        <v>30</v>
      </c>
      <c r="E236" s="32" t="s">
        <v>209</v>
      </c>
      <c r="F236" s="6">
        <v>1272</v>
      </c>
      <c r="G236" s="6">
        <v>465</v>
      </c>
      <c r="H236" s="6">
        <v>99</v>
      </c>
      <c r="I236" s="6">
        <v>24168</v>
      </c>
      <c r="J236" s="6">
        <v>23719</v>
      </c>
      <c r="K236" s="6">
        <v>42</v>
      </c>
      <c r="L236" s="32" t="s">
        <v>39</v>
      </c>
      <c r="P236" s="24">
        <f t="shared" si="10"/>
        <v>7.5968222442899705E-2</v>
      </c>
      <c r="S236" s="16" t="str">
        <f>IFERROR(_xlfn.XLOOKUP(O236,'Campaign Metadata'!$A$2:$A$5,'Campaign Metadata'!$B$2:$B$5),"")</f>
        <v/>
      </c>
      <c r="T236" s="16" t="str">
        <f>IFERROR(_xlfn.XLOOKUP(O236,'Campaign Metadata'!$A$2:$A$5,'Campaign Metadata'!$C$2:$C$5),"")</f>
        <v/>
      </c>
      <c r="U236" s="27" t="str">
        <f t="shared" si="11"/>
        <v>No Campaign</v>
      </c>
      <c r="V236" s="7">
        <f t="shared" si="12"/>
        <v>1836</v>
      </c>
    </row>
    <row r="237" spans="1:22" ht="16.5" customHeight="1" x14ac:dyDescent="0.3">
      <c r="A237" s="32" t="s">
        <v>541</v>
      </c>
      <c r="B237" s="32" t="s">
        <v>5</v>
      </c>
      <c r="C237" s="5" t="s">
        <v>110</v>
      </c>
      <c r="D237" s="32" t="s">
        <v>26</v>
      </c>
      <c r="E237" s="32" t="s">
        <v>165</v>
      </c>
      <c r="F237" s="6">
        <v>1171</v>
      </c>
      <c r="G237" s="6">
        <v>286</v>
      </c>
      <c r="H237" s="6">
        <v>231</v>
      </c>
      <c r="I237" s="6">
        <v>22249</v>
      </c>
      <c r="J237" s="6">
        <v>21282</v>
      </c>
      <c r="K237" s="6">
        <v>114</v>
      </c>
      <c r="L237" s="32" t="s">
        <v>36</v>
      </c>
      <c r="O237" s="32" t="s">
        <v>67</v>
      </c>
      <c r="P237" s="24">
        <f t="shared" si="10"/>
        <v>7.5868578363072495E-2</v>
      </c>
      <c r="S237" s="16" t="str">
        <f>IFERROR(_xlfn.XLOOKUP(O237,'Campaign Metadata'!$A$2:$A$5,'Campaign Metadata'!$B$2:$B$5),"")</f>
        <v>2024-06-15</v>
      </c>
      <c r="T237" s="16" t="str">
        <f>IFERROR(_xlfn.XLOOKUP(O237,'Campaign Metadata'!$A$2:$A$5,'Campaign Metadata'!$C$2:$C$5),"")</f>
        <v>2024-07-15</v>
      </c>
      <c r="U237" s="27" t="str">
        <f t="shared" si="11"/>
        <v>Before</v>
      </c>
      <c r="V237" s="7">
        <f t="shared" si="12"/>
        <v>1688</v>
      </c>
    </row>
    <row r="238" spans="1:22" ht="16.5" customHeight="1" x14ac:dyDescent="0.3">
      <c r="A238" s="32" t="s">
        <v>542</v>
      </c>
      <c r="B238" s="32" t="s">
        <v>2</v>
      </c>
      <c r="C238" s="5" t="s">
        <v>98</v>
      </c>
      <c r="D238" s="32" t="s">
        <v>30</v>
      </c>
      <c r="E238" s="32" t="s">
        <v>209</v>
      </c>
      <c r="F238" s="6">
        <v>3452</v>
      </c>
      <c r="G238" s="6">
        <v>377</v>
      </c>
      <c r="H238" s="6">
        <v>360</v>
      </c>
      <c r="I238" s="6">
        <v>55232</v>
      </c>
      <c r="J238" s="6">
        <v>55075</v>
      </c>
      <c r="K238" s="6">
        <v>87</v>
      </c>
      <c r="L238" s="32" t="s">
        <v>37</v>
      </c>
      <c r="O238" s="32" t="s">
        <v>68</v>
      </c>
      <c r="P238" s="24">
        <f t="shared" si="10"/>
        <v>7.5843713789107758E-2</v>
      </c>
      <c r="S238" s="16" t="str">
        <f>IFERROR(_xlfn.XLOOKUP(O238,'Campaign Metadata'!$A$2:$A$5,'Campaign Metadata'!$B$2:$B$5),"")</f>
        <v>2024-12-25</v>
      </c>
      <c r="T238" s="16" t="str">
        <f>IFERROR(_xlfn.XLOOKUP(O238,'Campaign Metadata'!$A$2:$A$5,'Campaign Metadata'!$C$2:$C$5),"")</f>
        <v>2025-01-10</v>
      </c>
      <c r="U238" s="27" t="str">
        <f t="shared" si="11"/>
        <v>Before</v>
      </c>
      <c r="V238" s="7">
        <f t="shared" si="12"/>
        <v>4189</v>
      </c>
    </row>
    <row r="239" spans="1:22" ht="16.5" customHeight="1" x14ac:dyDescent="0.3">
      <c r="A239" s="32" t="s">
        <v>543</v>
      </c>
      <c r="B239" s="32" t="s">
        <v>2</v>
      </c>
      <c r="C239" s="5" t="s">
        <v>92</v>
      </c>
      <c r="D239" s="32" t="s">
        <v>26</v>
      </c>
      <c r="E239" s="32" t="s">
        <v>273</v>
      </c>
      <c r="F239" s="6">
        <v>3796</v>
      </c>
      <c r="G239" s="6">
        <v>667</v>
      </c>
      <c r="H239" s="6">
        <v>395</v>
      </c>
      <c r="I239" s="6">
        <v>64532</v>
      </c>
      <c r="J239" s="6">
        <v>63550</v>
      </c>
      <c r="K239" s="6">
        <v>292</v>
      </c>
      <c r="L239" s="32" t="s">
        <v>39</v>
      </c>
      <c r="P239" s="24">
        <f t="shared" si="10"/>
        <v>7.5280481001673588E-2</v>
      </c>
      <c r="S239" s="16" t="str">
        <f>IFERROR(_xlfn.XLOOKUP(O239,'Campaign Metadata'!$A$2:$A$5,'Campaign Metadata'!$B$2:$B$5),"")</f>
        <v/>
      </c>
      <c r="T239" s="16" t="str">
        <f>IFERROR(_xlfn.XLOOKUP(O239,'Campaign Metadata'!$A$2:$A$5,'Campaign Metadata'!$C$2:$C$5),"")</f>
        <v/>
      </c>
      <c r="U239" s="27" t="str">
        <f t="shared" si="11"/>
        <v>No Campaign</v>
      </c>
      <c r="V239" s="7">
        <f t="shared" si="12"/>
        <v>4858</v>
      </c>
    </row>
    <row r="240" spans="1:22" ht="16.5" customHeight="1" x14ac:dyDescent="0.3">
      <c r="A240" s="32" t="s">
        <v>544</v>
      </c>
      <c r="B240" s="32" t="s">
        <v>2</v>
      </c>
      <c r="C240" s="5" t="s">
        <v>545</v>
      </c>
      <c r="D240" s="32" t="s">
        <v>31</v>
      </c>
      <c r="E240" s="32" t="s">
        <v>171</v>
      </c>
      <c r="F240" s="6">
        <v>3371</v>
      </c>
      <c r="G240" s="6">
        <v>106</v>
      </c>
      <c r="H240" s="6">
        <v>327</v>
      </c>
      <c r="I240" s="6">
        <v>50565</v>
      </c>
      <c r="J240" s="6">
        <v>49816</v>
      </c>
      <c r="K240" s="6">
        <v>176</v>
      </c>
      <c r="L240" s="32" t="s">
        <v>37</v>
      </c>
      <c r="O240" s="32" t="s">
        <v>67</v>
      </c>
      <c r="P240" s="24">
        <f t="shared" si="10"/>
        <v>7.5229902106199939E-2</v>
      </c>
      <c r="S240" s="16" t="str">
        <f>IFERROR(_xlfn.XLOOKUP(O240,'Campaign Metadata'!$A$2:$A$5,'Campaign Metadata'!$B$2:$B$5),"")</f>
        <v>2024-06-15</v>
      </c>
      <c r="T240" s="16" t="str">
        <f>IFERROR(_xlfn.XLOOKUP(O240,'Campaign Metadata'!$A$2:$A$5,'Campaign Metadata'!$C$2:$C$5),"")</f>
        <v>2024-07-15</v>
      </c>
      <c r="U240" s="27" t="str">
        <f t="shared" si="11"/>
        <v>Before</v>
      </c>
      <c r="V240" s="7">
        <f t="shared" si="12"/>
        <v>3804</v>
      </c>
    </row>
    <row r="241" spans="1:22" ht="16.5" customHeight="1" x14ac:dyDescent="0.3">
      <c r="A241" s="32" t="s">
        <v>546</v>
      </c>
      <c r="B241" s="32" t="s">
        <v>2</v>
      </c>
      <c r="C241" s="5" t="s">
        <v>547</v>
      </c>
      <c r="D241" s="32" t="s">
        <v>30</v>
      </c>
      <c r="E241" s="32" t="s">
        <v>209</v>
      </c>
      <c r="F241" s="6">
        <v>2418</v>
      </c>
      <c r="G241" s="6">
        <v>754</v>
      </c>
      <c r="H241" s="6">
        <v>54</v>
      </c>
      <c r="I241" s="6">
        <v>43524</v>
      </c>
      <c r="J241" s="6">
        <v>42743</v>
      </c>
      <c r="K241" s="6">
        <v>182</v>
      </c>
      <c r="L241" s="32" t="s">
        <v>36</v>
      </c>
      <c r="O241" s="32" t="s">
        <v>67</v>
      </c>
      <c r="P241" s="24">
        <f t="shared" si="10"/>
        <v>7.412002573292896E-2</v>
      </c>
      <c r="S241" s="16" t="str">
        <f>IFERROR(_xlfn.XLOOKUP(O241,'Campaign Metadata'!$A$2:$A$5,'Campaign Metadata'!$B$2:$B$5),"")</f>
        <v>2024-06-15</v>
      </c>
      <c r="T241" s="16" t="str">
        <f>IFERROR(_xlfn.XLOOKUP(O241,'Campaign Metadata'!$A$2:$A$5,'Campaign Metadata'!$C$2:$C$5),"")</f>
        <v>2024-07-15</v>
      </c>
      <c r="U241" s="27" t="str">
        <f t="shared" si="11"/>
        <v>Before</v>
      </c>
      <c r="V241" s="7">
        <f t="shared" si="12"/>
        <v>3226</v>
      </c>
    </row>
    <row r="242" spans="1:22" ht="16.5" customHeight="1" x14ac:dyDescent="0.3">
      <c r="A242" s="32" t="s">
        <v>548</v>
      </c>
      <c r="B242" s="32" t="s">
        <v>5</v>
      </c>
      <c r="C242" s="5" t="s">
        <v>549</v>
      </c>
      <c r="D242" s="32" t="s">
        <v>27</v>
      </c>
      <c r="E242" s="32" t="s">
        <v>168</v>
      </c>
      <c r="F242" s="6">
        <v>2719</v>
      </c>
      <c r="G242" s="6">
        <v>17</v>
      </c>
      <c r="H242" s="6">
        <v>285</v>
      </c>
      <c r="I242" s="6">
        <v>40785</v>
      </c>
      <c r="J242" s="6">
        <v>40281</v>
      </c>
      <c r="K242" s="6">
        <v>40</v>
      </c>
      <c r="L242" s="32" t="s">
        <v>39</v>
      </c>
      <c r="O242" s="32" t="s">
        <v>69</v>
      </c>
      <c r="P242" s="24">
        <f t="shared" si="10"/>
        <v>7.4071349760941527E-2</v>
      </c>
      <c r="S242" s="16" t="str">
        <f>IFERROR(_xlfn.XLOOKUP(O242,'Campaign Metadata'!$A$2:$A$5,'Campaign Metadata'!$B$2:$B$5),"")</f>
        <v>2024-10-01</v>
      </c>
      <c r="T242" s="16" t="str">
        <f>IFERROR(_xlfn.XLOOKUP(O242,'Campaign Metadata'!$A$2:$A$5,'Campaign Metadata'!$C$2:$C$5),"")</f>
        <v>2024-10-31</v>
      </c>
      <c r="U242" s="27" t="str">
        <f t="shared" si="11"/>
        <v>Before</v>
      </c>
      <c r="V242" s="7">
        <f t="shared" si="12"/>
        <v>3021</v>
      </c>
    </row>
    <row r="243" spans="1:22" ht="16.5" customHeight="1" x14ac:dyDescent="0.3">
      <c r="A243" s="32" t="s">
        <v>550</v>
      </c>
      <c r="B243" s="32" t="s">
        <v>5</v>
      </c>
      <c r="C243" s="5" t="s">
        <v>551</v>
      </c>
      <c r="D243" s="32" t="s">
        <v>31</v>
      </c>
      <c r="E243" s="32" t="s">
        <v>207</v>
      </c>
      <c r="F243" s="6">
        <v>4450</v>
      </c>
      <c r="G243" s="6">
        <v>983</v>
      </c>
      <c r="H243" s="6">
        <v>143</v>
      </c>
      <c r="I243" s="6">
        <v>75650</v>
      </c>
      <c r="J243" s="6">
        <v>75008</v>
      </c>
      <c r="K243" s="6">
        <v>12</v>
      </c>
      <c r="L243" s="32" t="s">
        <v>37</v>
      </c>
      <c r="O243" s="32" t="s">
        <v>68</v>
      </c>
      <c r="P243" s="24">
        <f t="shared" si="10"/>
        <v>7.3707865168539333E-2</v>
      </c>
      <c r="S243" s="16" t="str">
        <f>IFERROR(_xlfn.XLOOKUP(O243,'Campaign Metadata'!$A$2:$A$5,'Campaign Metadata'!$B$2:$B$5),"")</f>
        <v>2024-12-25</v>
      </c>
      <c r="T243" s="16" t="str">
        <f>IFERROR(_xlfn.XLOOKUP(O243,'Campaign Metadata'!$A$2:$A$5,'Campaign Metadata'!$C$2:$C$5),"")</f>
        <v>2025-01-10</v>
      </c>
      <c r="U243" s="27" t="str">
        <f t="shared" si="11"/>
        <v>Before</v>
      </c>
      <c r="V243" s="7">
        <f t="shared" si="12"/>
        <v>5576</v>
      </c>
    </row>
    <row r="244" spans="1:22" ht="16.5" customHeight="1" x14ac:dyDescent="0.3">
      <c r="A244" s="32" t="s">
        <v>552</v>
      </c>
      <c r="B244" s="32" t="s">
        <v>4</v>
      </c>
      <c r="C244" s="5" t="s">
        <v>553</v>
      </c>
      <c r="D244" s="32" t="s">
        <v>29</v>
      </c>
      <c r="E244" s="32" t="s">
        <v>151</v>
      </c>
      <c r="F244" s="6">
        <v>1950</v>
      </c>
      <c r="G244" s="6">
        <v>295</v>
      </c>
      <c r="H244" s="6">
        <v>478</v>
      </c>
      <c r="I244" s="6">
        <v>37050</v>
      </c>
      <c r="J244" s="6">
        <v>36272</v>
      </c>
      <c r="K244" s="6">
        <v>119</v>
      </c>
      <c r="L244" s="32" t="s">
        <v>39</v>
      </c>
      <c r="P244" s="24">
        <f t="shared" si="10"/>
        <v>7.349527665317139E-2</v>
      </c>
      <c r="S244" s="16" t="str">
        <f>IFERROR(_xlfn.XLOOKUP(O244,'Campaign Metadata'!$A$2:$A$5,'Campaign Metadata'!$B$2:$B$5),"")</f>
        <v/>
      </c>
      <c r="T244" s="16" t="str">
        <f>IFERROR(_xlfn.XLOOKUP(O244,'Campaign Metadata'!$A$2:$A$5,'Campaign Metadata'!$C$2:$C$5),"")</f>
        <v/>
      </c>
      <c r="U244" s="27" t="str">
        <f t="shared" si="11"/>
        <v>No Campaign</v>
      </c>
      <c r="V244" s="7">
        <f t="shared" si="12"/>
        <v>2723</v>
      </c>
    </row>
    <row r="245" spans="1:22" ht="16.5" customHeight="1" x14ac:dyDescent="0.3">
      <c r="A245" s="32" t="s">
        <v>554</v>
      </c>
      <c r="B245" s="32" t="s">
        <v>2</v>
      </c>
      <c r="C245" s="5" t="s">
        <v>345</v>
      </c>
      <c r="D245" s="32" t="s">
        <v>28</v>
      </c>
      <c r="E245" s="32" t="s">
        <v>278</v>
      </c>
      <c r="F245" s="6">
        <v>3813</v>
      </c>
      <c r="G245" s="6">
        <v>935</v>
      </c>
      <c r="H245" s="6">
        <v>274</v>
      </c>
      <c r="I245" s="6">
        <v>68634</v>
      </c>
      <c r="J245" s="6">
        <v>68488</v>
      </c>
      <c r="K245" s="6">
        <v>251</v>
      </c>
      <c r="L245" s="32" t="s">
        <v>37</v>
      </c>
      <c r="P245" s="24">
        <f t="shared" si="10"/>
        <v>7.3170731707317069E-2</v>
      </c>
      <c r="S245" s="16" t="str">
        <f>IFERROR(_xlfn.XLOOKUP(O245,'Campaign Metadata'!$A$2:$A$5,'Campaign Metadata'!$B$2:$B$5),"")</f>
        <v/>
      </c>
      <c r="T245" s="16" t="str">
        <f>IFERROR(_xlfn.XLOOKUP(O245,'Campaign Metadata'!$A$2:$A$5,'Campaign Metadata'!$C$2:$C$5),"")</f>
        <v/>
      </c>
      <c r="U245" s="27" t="str">
        <f t="shared" si="11"/>
        <v>No Campaign</v>
      </c>
      <c r="V245" s="7">
        <f t="shared" si="12"/>
        <v>5022</v>
      </c>
    </row>
    <row r="246" spans="1:22" ht="16.5" customHeight="1" x14ac:dyDescent="0.3">
      <c r="A246" s="32" t="s">
        <v>555</v>
      </c>
      <c r="B246" s="32" t="s">
        <v>2</v>
      </c>
      <c r="C246" s="5" t="s">
        <v>444</v>
      </c>
      <c r="D246" s="32" t="s">
        <v>26</v>
      </c>
      <c r="E246" s="32" t="s">
        <v>273</v>
      </c>
      <c r="F246" s="6">
        <v>2751</v>
      </c>
      <c r="G246" s="6">
        <v>33</v>
      </c>
      <c r="H246" s="6">
        <v>430</v>
      </c>
      <c r="I246" s="6">
        <v>44016</v>
      </c>
      <c r="J246" s="6">
        <v>43415</v>
      </c>
      <c r="K246" s="6">
        <v>129</v>
      </c>
      <c r="L246" s="32" t="s">
        <v>37</v>
      </c>
      <c r="P246" s="24">
        <f t="shared" si="10"/>
        <v>7.3018902217375503E-2</v>
      </c>
      <c r="S246" s="16" t="str">
        <f>IFERROR(_xlfn.XLOOKUP(O246,'Campaign Metadata'!$A$2:$A$5,'Campaign Metadata'!$B$2:$B$5),"")</f>
        <v/>
      </c>
      <c r="T246" s="16" t="str">
        <f>IFERROR(_xlfn.XLOOKUP(O246,'Campaign Metadata'!$A$2:$A$5,'Campaign Metadata'!$C$2:$C$5),"")</f>
        <v/>
      </c>
      <c r="U246" s="27" t="str">
        <f t="shared" si="11"/>
        <v>No Campaign</v>
      </c>
      <c r="V246" s="7">
        <f t="shared" si="12"/>
        <v>3214</v>
      </c>
    </row>
    <row r="247" spans="1:22" ht="16.5" customHeight="1" x14ac:dyDescent="0.3">
      <c r="A247" s="32" t="s">
        <v>556</v>
      </c>
      <c r="B247" s="32" t="s">
        <v>2</v>
      </c>
      <c r="C247" s="5" t="s">
        <v>280</v>
      </c>
      <c r="D247" s="32" t="s">
        <v>27</v>
      </c>
      <c r="E247" s="32" t="s">
        <v>183</v>
      </c>
      <c r="F247" s="6">
        <v>2382</v>
      </c>
      <c r="G247" s="6">
        <v>265</v>
      </c>
      <c r="H247" s="6">
        <v>134</v>
      </c>
      <c r="I247" s="6">
        <v>38112</v>
      </c>
      <c r="J247" s="6">
        <v>37437</v>
      </c>
      <c r="K247" s="6">
        <v>249</v>
      </c>
      <c r="L247" s="32" t="s">
        <v>37</v>
      </c>
      <c r="O247" s="32" t="s">
        <v>70</v>
      </c>
      <c r="P247" s="24">
        <f t="shared" si="10"/>
        <v>7.2969143576826198E-2</v>
      </c>
      <c r="S247" s="16" t="str">
        <f>IFERROR(_xlfn.XLOOKUP(O247,'Campaign Metadata'!$A$2:$A$5,'Campaign Metadata'!$B$2:$B$5),"")</f>
        <v>2025-03-01</v>
      </c>
      <c r="T247" s="16" t="str">
        <f>IFERROR(_xlfn.XLOOKUP(O247,'Campaign Metadata'!$A$2:$A$5,'Campaign Metadata'!$C$2:$C$5),"")</f>
        <v>2025-03-31</v>
      </c>
      <c r="U247" s="27" t="str">
        <f t="shared" si="11"/>
        <v>During</v>
      </c>
      <c r="V247" s="7">
        <f t="shared" si="12"/>
        <v>2781</v>
      </c>
    </row>
    <row r="248" spans="1:22" ht="16.5" customHeight="1" x14ac:dyDescent="0.3">
      <c r="A248" s="32" t="s">
        <v>557</v>
      </c>
      <c r="B248" s="32" t="s">
        <v>2</v>
      </c>
      <c r="C248" s="5" t="s">
        <v>558</v>
      </c>
      <c r="D248" s="32" t="s">
        <v>26</v>
      </c>
      <c r="E248" s="32" t="s">
        <v>273</v>
      </c>
      <c r="F248" s="6">
        <v>3073</v>
      </c>
      <c r="G248" s="6">
        <v>553</v>
      </c>
      <c r="H248" s="6">
        <v>174</v>
      </c>
      <c r="I248" s="6">
        <v>52241</v>
      </c>
      <c r="J248" s="6">
        <v>51605</v>
      </c>
      <c r="K248" s="6">
        <v>246</v>
      </c>
      <c r="L248" s="32" t="s">
        <v>36</v>
      </c>
      <c r="O248" s="32" t="s">
        <v>68</v>
      </c>
      <c r="P248" s="24">
        <f t="shared" si="10"/>
        <v>7.2739802071170159E-2</v>
      </c>
      <c r="S248" s="16" t="str">
        <f>IFERROR(_xlfn.XLOOKUP(O248,'Campaign Metadata'!$A$2:$A$5,'Campaign Metadata'!$B$2:$B$5),"")</f>
        <v>2024-12-25</v>
      </c>
      <c r="T248" s="16" t="str">
        <f>IFERROR(_xlfn.XLOOKUP(O248,'Campaign Metadata'!$A$2:$A$5,'Campaign Metadata'!$C$2:$C$5),"")</f>
        <v>2025-01-10</v>
      </c>
      <c r="U248" s="27" t="str">
        <f t="shared" si="11"/>
        <v>Before</v>
      </c>
      <c r="V248" s="7">
        <f t="shared" si="12"/>
        <v>3800</v>
      </c>
    </row>
    <row r="249" spans="1:22" ht="16.5" customHeight="1" x14ac:dyDescent="0.3">
      <c r="A249" s="32" t="s">
        <v>559</v>
      </c>
      <c r="B249" s="32" t="s">
        <v>4</v>
      </c>
      <c r="C249" s="5" t="s">
        <v>560</v>
      </c>
      <c r="D249" s="32" t="s">
        <v>30</v>
      </c>
      <c r="E249" s="32" t="s">
        <v>221</v>
      </c>
      <c r="F249" s="6">
        <v>4725</v>
      </c>
      <c r="G249" s="6">
        <v>400</v>
      </c>
      <c r="H249" s="6">
        <v>362</v>
      </c>
      <c r="I249" s="6">
        <v>75600</v>
      </c>
      <c r="J249" s="6">
        <v>74927</v>
      </c>
      <c r="K249" s="6">
        <v>43</v>
      </c>
      <c r="L249" s="32" t="s">
        <v>37</v>
      </c>
      <c r="O249" s="32" t="s">
        <v>70</v>
      </c>
      <c r="P249" s="24">
        <f t="shared" si="10"/>
        <v>7.2579365079365077E-2</v>
      </c>
      <c r="S249" s="16" t="str">
        <f>IFERROR(_xlfn.XLOOKUP(O249,'Campaign Metadata'!$A$2:$A$5,'Campaign Metadata'!$B$2:$B$5),"")</f>
        <v>2025-03-01</v>
      </c>
      <c r="T249" s="16" t="str">
        <f>IFERROR(_xlfn.XLOOKUP(O249,'Campaign Metadata'!$A$2:$A$5,'Campaign Metadata'!$C$2:$C$5),"")</f>
        <v>2025-03-31</v>
      </c>
      <c r="U249" s="27" t="str">
        <f t="shared" si="11"/>
        <v>Before</v>
      </c>
      <c r="V249" s="7">
        <f t="shared" si="12"/>
        <v>5487</v>
      </c>
    </row>
    <row r="250" spans="1:22" ht="16.5" customHeight="1" x14ac:dyDescent="0.3">
      <c r="A250" s="32" t="s">
        <v>561</v>
      </c>
      <c r="B250" s="32" t="s">
        <v>2</v>
      </c>
      <c r="C250" s="5" t="s">
        <v>129</v>
      </c>
      <c r="D250" s="32" t="s">
        <v>28</v>
      </c>
      <c r="E250" s="32" t="s">
        <v>278</v>
      </c>
      <c r="F250" s="6">
        <v>3360</v>
      </c>
      <c r="G250" s="6">
        <v>525</v>
      </c>
      <c r="H250" s="6">
        <v>500</v>
      </c>
      <c r="I250" s="6">
        <v>60480</v>
      </c>
      <c r="J250" s="6">
        <v>59610</v>
      </c>
      <c r="K250" s="6">
        <v>192</v>
      </c>
      <c r="L250" s="32" t="s">
        <v>39</v>
      </c>
      <c r="O250" s="32" t="s">
        <v>67</v>
      </c>
      <c r="P250" s="24">
        <f t="shared" si="10"/>
        <v>7.2503306878306875E-2</v>
      </c>
      <c r="S250" s="16" t="str">
        <f>IFERROR(_xlfn.XLOOKUP(O250,'Campaign Metadata'!$A$2:$A$5,'Campaign Metadata'!$B$2:$B$5),"")</f>
        <v>2024-06-15</v>
      </c>
      <c r="T250" s="16" t="str">
        <f>IFERROR(_xlfn.XLOOKUP(O250,'Campaign Metadata'!$A$2:$A$5,'Campaign Metadata'!$C$2:$C$5),"")</f>
        <v>2024-07-15</v>
      </c>
      <c r="U250" s="27" t="str">
        <f t="shared" si="11"/>
        <v>Before</v>
      </c>
      <c r="V250" s="7">
        <f t="shared" si="12"/>
        <v>4385</v>
      </c>
    </row>
    <row r="251" spans="1:22" ht="16.5" customHeight="1" x14ac:dyDescent="0.3">
      <c r="A251" s="32" t="s">
        <v>562</v>
      </c>
      <c r="B251" s="32" t="s">
        <v>2</v>
      </c>
      <c r="C251" s="5" t="s">
        <v>111</v>
      </c>
      <c r="D251" s="32" t="s">
        <v>27</v>
      </c>
      <c r="E251" s="32" t="s">
        <v>183</v>
      </c>
      <c r="F251" s="6">
        <v>3564</v>
      </c>
      <c r="G251" s="6">
        <v>629</v>
      </c>
      <c r="H251" s="6">
        <v>177</v>
      </c>
      <c r="I251" s="6">
        <v>60588</v>
      </c>
      <c r="J251" s="6">
        <v>59627</v>
      </c>
      <c r="K251" s="6">
        <v>92</v>
      </c>
      <c r="L251" s="32" t="s">
        <v>39</v>
      </c>
      <c r="P251" s="24">
        <f t="shared" si="10"/>
        <v>7.2126493695121141E-2</v>
      </c>
      <c r="S251" s="16" t="str">
        <f>IFERROR(_xlfn.XLOOKUP(O251,'Campaign Metadata'!$A$2:$A$5,'Campaign Metadata'!$B$2:$B$5),"")</f>
        <v/>
      </c>
      <c r="T251" s="16" t="str">
        <f>IFERROR(_xlfn.XLOOKUP(O251,'Campaign Metadata'!$A$2:$A$5,'Campaign Metadata'!$C$2:$C$5),"")</f>
        <v/>
      </c>
      <c r="U251" s="27" t="str">
        <f t="shared" si="11"/>
        <v>No Campaign</v>
      </c>
      <c r="V251" s="7">
        <f t="shared" si="12"/>
        <v>4370</v>
      </c>
    </row>
    <row r="252" spans="1:22" ht="16.5" customHeight="1" x14ac:dyDescent="0.3">
      <c r="A252" s="32" t="s">
        <v>563</v>
      </c>
      <c r="B252" s="32" t="s">
        <v>2</v>
      </c>
      <c r="C252" s="5" t="s">
        <v>306</v>
      </c>
      <c r="D252" s="32" t="s">
        <v>27</v>
      </c>
      <c r="E252" s="32" t="s">
        <v>183</v>
      </c>
      <c r="F252" s="6">
        <v>4872</v>
      </c>
      <c r="G252" s="6">
        <v>925</v>
      </c>
      <c r="H252" s="6">
        <v>176</v>
      </c>
      <c r="I252" s="6">
        <v>82824</v>
      </c>
      <c r="J252" s="6">
        <v>82543</v>
      </c>
      <c r="K252" s="6">
        <v>89</v>
      </c>
      <c r="L252" s="32" t="s">
        <v>36</v>
      </c>
      <c r="O252" s="32" t="s">
        <v>69</v>
      </c>
      <c r="P252" s="24">
        <f t="shared" si="10"/>
        <v>7.2116777745580993E-2</v>
      </c>
      <c r="S252" s="16" t="str">
        <f>IFERROR(_xlfn.XLOOKUP(O252,'Campaign Metadata'!$A$2:$A$5,'Campaign Metadata'!$B$2:$B$5),"")</f>
        <v>2024-10-01</v>
      </c>
      <c r="T252" s="16" t="str">
        <f>IFERROR(_xlfn.XLOOKUP(O252,'Campaign Metadata'!$A$2:$A$5,'Campaign Metadata'!$C$2:$C$5),"")</f>
        <v>2024-10-31</v>
      </c>
      <c r="U252" s="27" t="str">
        <f t="shared" si="11"/>
        <v>Before</v>
      </c>
      <c r="V252" s="7">
        <f t="shared" si="12"/>
        <v>5973</v>
      </c>
    </row>
    <row r="253" spans="1:22" ht="16.5" customHeight="1" x14ac:dyDescent="0.3">
      <c r="A253" s="32" t="s">
        <v>564</v>
      </c>
      <c r="B253" s="32" t="s">
        <v>2</v>
      </c>
      <c r="C253" s="5" t="s">
        <v>565</v>
      </c>
      <c r="D253" s="32" t="s">
        <v>31</v>
      </c>
      <c r="E253" s="32" t="s">
        <v>171</v>
      </c>
      <c r="F253" s="6">
        <v>3961</v>
      </c>
      <c r="G253" s="6">
        <v>761</v>
      </c>
      <c r="H253" s="6">
        <v>131</v>
      </c>
      <c r="I253" s="6">
        <v>67337</v>
      </c>
      <c r="J253" s="6">
        <v>66615</v>
      </c>
      <c r="K253" s="6">
        <v>161</v>
      </c>
      <c r="L253" s="32" t="s">
        <v>37</v>
      </c>
      <c r="O253" s="32" t="s">
        <v>68</v>
      </c>
      <c r="P253" s="24">
        <f t="shared" si="10"/>
        <v>7.2070332803659209E-2</v>
      </c>
      <c r="S253" s="16" t="str">
        <f>IFERROR(_xlfn.XLOOKUP(O253,'Campaign Metadata'!$A$2:$A$5,'Campaign Metadata'!$B$2:$B$5),"")</f>
        <v>2024-12-25</v>
      </c>
      <c r="T253" s="16" t="str">
        <f>IFERROR(_xlfn.XLOOKUP(O253,'Campaign Metadata'!$A$2:$A$5,'Campaign Metadata'!$C$2:$C$5),"")</f>
        <v>2025-01-10</v>
      </c>
      <c r="U253" s="27" t="str">
        <f t="shared" si="11"/>
        <v>Before</v>
      </c>
      <c r="V253" s="7">
        <f t="shared" si="12"/>
        <v>4853</v>
      </c>
    </row>
    <row r="254" spans="1:22" ht="16.5" customHeight="1" x14ac:dyDescent="0.3">
      <c r="A254" s="32" t="s">
        <v>566</v>
      </c>
      <c r="B254" s="32" t="s">
        <v>5</v>
      </c>
      <c r="C254" s="5" t="s">
        <v>567</v>
      </c>
      <c r="D254" s="32" t="s">
        <v>26</v>
      </c>
      <c r="E254" s="32" t="s">
        <v>165</v>
      </c>
      <c r="F254" s="6">
        <v>4171</v>
      </c>
      <c r="G254" s="6">
        <v>548</v>
      </c>
      <c r="H254" s="6">
        <v>86</v>
      </c>
      <c r="I254" s="6">
        <v>66736</v>
      </c>
      <c r="J254" s="6">
        <v>66634</v>
      </c>
      <c r="K254" s="6">
        <v>173</v>
      </c>
      <c r="L254" s="32" t="s">
        <v>37</v>
      </c>
      <c r="O254" s="32" t="s">
        <v>68</v>
      </c>
      <c r="P254" s="24">
        <f t="shared" si="10"/>
        <v>7.2000119875329657E-2</v>
      </c>
      <c r="S254" s="16" t="str">
        <f>IFERROR(_xlfn.XLOOKUP(O254,'Campaign Metadata'!$A$2:$A$5,'Campaign Metadata'!$B$2:$B$5),"")</f>
        <v>2024-12-25</v>
      </c>
      <c r="T254" s="16" t="str">
        <f>IFERROR(_xlfn.XLOOKUP(O254,'Campaign Metadata'!$A$2:$A$5,'Campaign Metadata'!$C$2:$C$5),"")</f>
        <v>2025-01-10</v>
      </c>
      <c r="U254" s="27" t="str">
        <f t="shared" si="11"/>
        <v>Before</v>
      </c>
      <c r="V254" s="7">
        <f t="shared" si="12"/>
        <v>4805</v>
      </c>
    </row>
    <row r="255" spans="1:22" ht="16.5" customHeight="1" x14ac:dyDescent="0.3">
      <c r="A255" s="32" t="s">
        <v>568</v>
      </c>
      <c r="B255" s="32" t="s">
        <v>2</v>
      </c>
      <c r="C255" s="5" t="s">
        <v>553</v>
      </c>
      <c r="D255" s="32" t="s">
        <v>27</v>
      </c>
      <c r="E255" s="32" t="s">
        <v>183</v>
      </c>
      <c r="F255" s="6">
        <v>4241</v>
      </c>
      <c r="G255" s="6">
        <v>902</v>
      </c>
      <c r="H255" s="6">
        <v>47</v>
      </c>
      <c r="I255" s="6">
        <v>72097</v>
      </c>
      <c r="J255" s="6">
        <v>71598</v>
      </c>
      <c r="K255" s="6">
        <v>167</v>
      </c>
      <c r="L255" s="32" t="s">
        <v>39</v>
      </c>
      <c r="O255" s="32" t="s">
        <v>69</v>
      </c>
      <c r="P255" s="24">
        <f t="shared" si="10"/>
        <v>7.198635172059864E-2</v>
      </c>
      <c r="S255" s="16" t="str">
        <f>IFERROR(_xlfn.XLOOKUP(O255,'Campaign Metadata'!$A$2:$A$5,'Campaign Metadata'!$B$2:$B$5),"")</f>
        <v>2024-10-01</v>
      </c>
      <c r="T255" s="16" t="str">
        <f>IFERROR(_xlfn.XLOOKUP(O255,'Campaign Metadata'!$A$2:$A$5,'Campaign Metadata'!$C$2:$C$5),"")</f>
        <v>2024-10-31</v>
      </c>
      <c r="U255" s="27" t="str">
        <f t="shared" si="11"/>
        <v>Before</v>
      </c>
      <c r="V255" s="7">
        <f t="shared" si="12"/>
        <v>5190</v>
      </c>
    </row>
    <row r="256" spans="1:22" ht="16.5" customHeight="1" x14ac:dyDescent="0.3">
      <c r="A256" s="32" t="s">
        <v>569</v>
      </c>
      <c r="B256" s="32" t="s">
        <v>2</v>
      </c>
      <c r="C256" s="5" t="s">
        <v>536</v>
      </c>
      <c r="D256" s="32" t="s">
        <v>31</v>
      </c>
      <c r="E256" s="32" t="s">
        <v>171</v>
      </c>
      <c r="F256" s="6">
        <v>4663</v>
      </c>
      <c r="G256" s="6">
        <v>145</v>
      </c>
      <c r="H256" s="6">
        <v>225</v>
      </c>
      <c r="I256" s="6">
        <v>69945</v>
      </c>
      <c r="J256" s="6">
        <v>69596</v>
      </c>
      <c r="K256" s="6">
        <v>35</v>
      </c>
      <c r="L256" s="32" t="s">
        <v>36</v>
      </c>
      <c r="O256" s="32" t="s">
        <v>70</v>
      </c>
      <c r="P256" s="24">
        <f t="shared" si="10"/>
        <v>7.1956537279290869E-2</v>
      </c>
      <c r="S256" s="16" t="str">
        <f>IFERROR(_xlfn.XLOOKUP(O256,'Campaign Metadata'!$A$2:$A$5,'Campaign Metadata'!$B$2:$B$5),"")</f>
        <v>2025-03-01</v>
      </c>
      <c r="T256" s="16" t="str">
        <f>IFERROR(_xlfn.XLOOKUP(O256,'Campaign Metadata'!$A$2:$A$5,'Campaign Metadata'!$C$2:$C$5),"")</f>
        <v>2025-03-31</v>
      </c>
      <c r="U256" s="27" t="str">
        <f t="shared" si="11"/>
        <v>Before</v>
      </c>
      <c r="V256" s="7">
        <f t="shared" si="12"/>
        <v>5033</v>
      </c>
    </row>
    <row r="257" spans="1:22" ht="16.5" customHeight="1" x14ac:dyDescent="0.3">
      <c r="A257" s="32" t="s">
        <v>570</v>
      </c>
      <c r="B257" s="32" t="s">
        <v>2</v>
      </c>
      <c r="C257" s="5" t="s">
        <v>571</v>
      </c>
      <c r="D257" s="32" t="s">
        <v>27</v>
      </c>
      <c r="E257" s="32" t="s">
        <v>183</v>
      </c>
      <c r="F257" s="6">
        <v>2072</v>
      </c>
      <c r="G257" s="6">
        <v>532</v>
      </c>
      <c r="H257" s="6">
        <v>71</v>
      </c>
      <c r="I257" s="6">
        <v>37296</v>
      </c>
      <c r="J257" s="6">
        <v>36467</v>
      </c>
      <c r="K257" s="6">
        <v>25</v>
      </c>
      <c r="L257" s="32" t="s">
        <v>39</v>
      </c>
      <c r="O257" s="32" t="s">
        <v>70</v>
      </c>
      <c r="P257" s="24">
        <f t="shared" si="10"/>
        <v>7.172350922350923E-2</v>
      </c>
      <c r="S257" s="16" t="str">
        <f>IFERROR(_xlfn.XLOOKUP(O257,'Campaign Metadata'!$A$2:$A$5,'Campaign Metadata'!$B$2:$B$5),"")</f>
        <v>2025-03-01</v>
      </c>
      <c r="T257" s="16" t="str">
        <f>IFERROR(_xlfn.XLOOKUP(O257,'Campaign Metadata'!$A$2:$A$5,'Campaign Metadata'!$C$2:$C$5),"")</f>
        <v>2025-03-31</v>
      </c>
      <c r="U257" s="27" t="str">
        <f t="shared" si="11"/>
        <v>Before</v>
      </c>
      <c r="V257" s="7">
        <f t="shared" si="12"/>
        <v>2675</v>
      </c>
    </row>
    <row r="258" spans="1:22" ht="16.5" customHeight="1" x14ac:dyDescent="0.3">
      <c r="A258" s="32" t="s">
        <v>572</v>
      </c>
      <c r="B258" s="32" t="s">
        <v>5</v>
      </c>
      <c r="C258" s="5" t="s">
        <v>405</v>
      </c>
      <c r="D258" s="32" t="s">
        <v>30</v>
      </c>
      <c r="E258" s="32" t="s">
        <v>217</v>
      </c>
      <c r="F258" s="6">
        <v>2076</v>
      </c>
      <c r="G258" s="6">
        <v>195</v>
      </c>
      <c r="H258" s="6">
        <v>104</v>
      </c>
      <c r="I258" s="6">
        <v>33216</v>
      </c>
      <c r="J258" s="6">
        <v>32244</v>
      </c>
      <c r="K258" s="6">
        <v>51</v>
      </c>
      <c r="L258" s="32" t="s">
        <v>37</v>
      </c>
      <c r="O258" s="32" t="s">
        <v>70</v>
      </c>
      <c r="P258" s="24">
        <f t="shared" ref="P258:P301" si="13">(F258+G258+H258)/I258</f>
        <v>7.1501685934489398E-2</v>
      </c>
      <c r="S258" s="16" t="str">
        <f>IFERROR(_xlfn.XLOOKUP(O258,'Campaign Metadata'!$A$2:$A$5,'Campaign Metadata'!$B$2:$B$5),"")</f>
        <v>2025-03-01</v>
      </c>
      <c r="T258" s="16" t="str">
        <f>IFERROR(_xlfn.XLOOKUP(O258,'Campaign Metadata'!$A$2:$A$5,'Campaign Metadata'!$C$2:$C$5),"")</f>
        <v>2025-03-31</v>
      </c>
      <c r="U258" s="27" t="str">
        <f t="shared" si="11"/>
        <v>Before</v>
      </c>
      <c r="V258" s="7">
        <f t="shared" si="12"/>
        <v>2375</v>
      </c>
    </row>
    <row r="259" spans="1:22" ht="16.5" customHeight="1" x14ac:dyDescent="0.3">
      <c r="A259" s="32" t="s">
        <v>573</v>
      </c>
      <c r="B259" s="32" t="s">
        <v>4</v>
      </c>
      <c r="C259" s="5" t="s">
        <v>426</v>
      </c>
      <c r="D259" s="32" t="s">
        <v>28</v>
      </c>
      <c r="E259" s="32" t="s">
        <v>177</v>
      </c>
      <c r="F259" s="6">
        <v>3731</v>
      </c>
      <c r="G259" s="6">
        <v>115</v>
      </c>
      <c r="H259" s="6">
        <v>135</v>
      </c>
      <c r="I259" s="6">
        <v>55965</v>
      </c>
      <c r="J259" s="6">
        <v>55436</v>
      </c>
      <c r="K259" s="6">
        <v>103</v>
      </c>
      <c r="L259" s="32" t="s">
        <v>39</v>
      </c>
      <c r="O259" s="32" t="s">
        <v>67</v>
      </c>
      <c r="P259" s="24">
        <f t="shared" si="13"/>
        <v>7.1133744304476013E-2</v>
      </c>
      <c r="S259" s="16" t="str">
        <f>IFERROR(_xlfn.XLOOKUP(O259,'Campaign Metadata'!$A$2:$A$5,'Campaign Metadata'!$B$2:$B$5),"")</f>
        <v>2024-06-15</v>
      </c>
      <c r="T259" s="16" t="str">
        <f>IFERROR(_xlfn.XLOOKUP(O259,'Campaign Metadata'!$A$2:$A$5,'Campaign Metadata'!$C$2:$C$5),"")</f>
        <v>2024-07-15</v>
      </c>
      <c r="U259" s="27" t="str">
        <f t="shared" ref="U259:U301" si="14">IF(O259="","No Campaign",IF(AND(C259&gt;=S259,C259&lt;=T259),"During","Before"))</f>
        <v>Before</v>
      </c>
      <c r="V259" s="7">
        <f t="shared" ref="V259:V301" si="15">F259+G259+H259</f>
        <v>3981</v>
      </c>
    </row>
    <row r="260" spans="1:22" ht="16.5" customHeight="1" x14ac:dyDescent="0.3">
      <c r="A260" s="32" t="s">
        <v>574</v>
      </c>
      <c r="B260" s="32" t="s">
        <v>3</v>
      </c>
      <c r="C260" s="5" t="s">
        <v>86</v>
      </c>
      <c r="D260" s="32" t="s">
        <v>27</v>
      </c>
      <c r="E260" s="32" t="s">
        <v>173</v>
      </c>
      <c r="F260" s="6">
        <v>3861</v>
      </c>
      <c r="G260" s="6">
        <v>960</v>
      </c>
      <c r="H260" s="6">
        <v>101</v>
      </c>
      <c r="I260" s="6">
        <v>69498</v>
      </c>
      <c r="J260" s="6">
        <v>68817</v>
      </c>
      <c r="K260" s="6">
        <v>297</v>
      </c>
      <c r="L260" s="32" t="s">
        <v>39</v>
      </c>
      <c r="O260" s="32" t="s">
        <v>70</v>
      </c>
      <c r="P260" s="24">
        <f t="shared" si="13"/>
        <v>7.0822181933293038E-2</v>
      </c>
      <c r="S260" s="16" t="str">
        <f>IFERROR(_xlfn.XLOOKUP(O260,'Campaign Metadata'!$A$2:$A$5,'Campaign Metadata'!$B$2:$B$5),"")</f>
        <v>2025-03-01</v>
      </c>
      <c r="T260" s="16" t="str">
        <f>IFERROR(_xlfn.XLOOKUP(O260,'Campaign Metadata'!$A$2:$A$5,'Campaign Metadata'!$C$2:$C$5),"")</f>
        <v>2025-03-31</v>
      </c>
      <c r="U260" s="27" t="str">
        <f t="shared" si="14"/>
        <v>Before</v>
      </c>
      <c r="V260" s="7">
        <f t="shared" si="15"/>
        <v>4922</v>
      </c>
    </row>
    <row r="261" spans="1:22" ht="16.5" customHeight="1" x14ac:dyDescent="0.3">
      <c r="A261" s="32" t="s">
        <v>575</v>
      </c>
      <c r="B261" s="32" t="s">
        <v>2</v>
      </c>
      <c r="C261" s="5" t="s">
        <v>576</v>
      </c>
      <c r="D261" s="32" t="s">
        <v>30</v>
      </c>
      <c r="E261" s="32" t="s">
        <v>209</v>
      </c>
      <c r="F261" s="6">
        <v>1652</v>
      </c>
      <c r="G261" s="6">
        <v>89</v>
      </c>
      <c r="H261" s="6">
        <v>357</v>
      </c>
      <c r="I261" s="6">
        <v>29736</v>
      </c>
      <c r="J261" s="6">
        <v>28771</v>
      </c>
      <c r="K261" s="6">
        <v>215</v>
      </c>
      <c r="L261" s="32" t="s">
        <v>39</v>
      </c>
      <c r="O261" s="32" t="s">
        <v>68</v>
      </c>
      <c r="P261" s="24">
        <f t="shared" si="13"/>
        <v>7.055421038471886E-2</v>
      </c>
      <c r="S261" s="16" t="str">
        <f>IFERROR(_xlfn.XLOOKUP(O261,'Campaign Metadata'!$A$2:$A$5,'Campaign Metadata'!$B$2:$B$5),"")</f>
        <v>2024-12-25</v>
      </c>
      <c r="T261" s="16" t="str">
        <f>IFERROR(_xlfn.XLOOKUP(O261,'Campaign Metadata'!$A$2:$A$5,'Campaign Metadata'!$C$2:$C$5),"")</f>
        <v>2025-01-10</v>
      </c>
      <c r="U261" s="27" t="str">
        <f t="shared" si="14"/>
        <v>Before</v>
      </c>
      <c r="V261" s="7">
        <f t="shared" si="15"/>
        <v>2098</v>
      </c>
    </row>
    <row r="262" spans="1:22" ht="16.5" customHeight="1" x14ac:dyDescent="0.3">
      <c r="A262" s="32" t="s">
        <v>577</v>
      </c>
      <c r="B262" s="32" t="s">
        <v>4</v>
      </c>
      <c r="C262" s="5" t="s">
        <v>89</v>
      </c>
      <c r="D262" s="32" t="s">
        <v>26</v>
      </c>
      <c r="E262" s="32" t="s">
        <v>159</v>
      </c>
      <c r="F262" s="6">
        <v>3860</v>
      </c>
      <c r="G262" s="6">
        <v>201</v>
      </c>
      <c r="H262" s="6">
        <v>279</v>
      </c>
      <c r="I262" s="6">
        <v>61760</v>
      </c>
      <c r="J262" s="6">
        <v>61660</v>
      </c>
      <c r="K262" s="6">
        <v>235</v>
      </c>
      <c r="L262" s="32" t="s">
        <v>39</v>
      </c>
      <c r="O262" s="32" t="s">
        <v>69</v>
      </c>
      <c r="P262" s="24">
        <f t="shared" si="13"/>
        <v>7.0272020725388601E-2</v>
      </c>
      <c r="S262" s="16" t="str">
        <f>IFERROR(_xlfn.XLOOKUP(O262,'Campaign Metadata'!$A$2:$A$5,'Campaign Metadata'!$B$2:$B$5),"")</f>
        <v>2024-10-01</v>
      </c>
      <c r="T262" s="16" t="str">
        <f>IFERROR(_xlfn.XLOOKUP(O262,'Campaign Metadata'!$A$2:$A$5,'Campaign Metadata'!$C$2:$C$5),"")</f>
        <v>2024-10-31</v>
      </c>
      <c r="U262" s="27" t="str">
        <f t="shared" si="14"/>
        <v>Before</v>
      </c>
      <c r="V262" s="7">
        <f t="shared" si="15"/>
        <v>4340</v>
      </c>
    </row>
    <row r="263" spans="1:22" ht="16.5" customHeight="1" x14ac:dyDescent="0.3">
      <c r="A263" s="32" t="s">
        <v>578</v>
      </c>
      <c r="B263" s="32" t="s">
        <v>5</v>
      </c>
      <c r="C263" s="5" t="s">
        <v>437</v>
      </c>
      <c r="D263" s="32" t="s">
        <v>29</v>
      </c>
      <c r="E263" s="32" t="s">
        <v>347</v>
      </c>
      <c r="F263" s="6">
        <v>2070</v>
      </c>
      <c r="G263" s="6">
        <v>275</v>
      </c>
      <c r="H263" s="6">
        <v>386</v>
      </c>
      <c r="I263" s="6">
        <v>39330</v>
      </c>
      <c r="J263" s="6">
        <v>38627</v>
      </c>
      <c r="K263" s="6">
        <v>114</v>
      </c>
      <c r="L263" s="32" t="s">
        <v>37</v>
      </c>
      <c r="O263" s="32" t="s">
        <v>70</v>
      </c>
      <c r="P263" s="24">
        <f t="shared" si="13"/>
        <v>6.9438087973557078E-2</v>
      </c>
      <c r="S263" s="16" t="str">
        <f>IFERROR(_xlfn.XLOOKUP(O263,'Campaign Metadata'!$A$2:$A$5,'Campaign Metadata'!$B$2:$B$5),"")</f>
        <v>2025-03-01</v>
      </c>
      <c r="T263" s="16" t="str">
        <f>IFERROR(_xlfn.XLOOKUP(O263,'Campaign Metadata'!$A$2:$A$5,'Campaign Metadata'!$C$2:$C$5),"")</f>
        <v>2025-03-31</v>
      </c>
      <c r="U263" s="27" t="str">
        <f t="shared" si="14"/>
        <v>During</v>
      </c>
      <c r="V263" s="7">
        <f t="shared" si="15"/>
        <v>2731</v>
      </c>
    </row>
    <row r="264" spans="1:22" ht="16.5" customHeight="1" x14ac:dyDescent="0.3">
      <c r="A264" s="32" t="s">
        <v>579</v>
      </c>
      <c r="B264" s="32" t="s">
        <v>2</v>
      </c>
      <c r="C264" s="5" t="s">
        <v>121</v>
      </c>
      <c r="D264" s="32" t="s">
        <v>28</v>
      </c>
      <c r="E264" s="32" t="s">
        <v>278</v>
      </c>
      <c r="F264" s="6">
        <v>3452</v>
      </c>
      <c r="G264" s="6">
        <v>652</v>
      </c>
      <c r="H264" s="6">
        <v>442</v>
      </c>
      <c r="I264" s="6">
        <v>65588</v>
      </c>
      <c r="J264" s="6">
        <v>65049</v>
      </c>
      <c r="K264" s="6">
        <v>158</v>
      </c>
      <c r="L264" s="32" t="s">
        <v>37</v>
      </c>
      <c r="O264" s="32" t="s">
        <v>68</v>
      </c>
      <c r="P264" s="24">
        <f t="shared" si="13"/>
        <v>6.9311459413307311E-2</v>
      </c>
      <c r="S264" s="16" t="str">
        <f>IFERROR(_xlfn.XLOOKUP(O264,'Campaign Metadata'!$A$2:$A$5,'Campaign Metadata'!$B$2:$B$5),"")</f>
        <v>2024-12-25</v>
      </c>
      <c r="T264" s="16" t="str">
        <f>IFERROR(_xlfn.XLOOKUP(O264,'Campaign Metadata'!$A$2:$A$5,'Campaign Metadata'!$C$2:$C$5),"")</f>
        <v>2025-01-10</v>
      </c>
      <c r="U264" s="27" t="str">
        <f t="shared" si="14"/>
        <v>Before</v>
      </c>
      <c r="V264" s="7">
        <f t="shared" si="15"/>
        <v>4546</v>
      </c>
    </row>
    <row r="265" spans="1:22" ht="16.5" customHeight="1" x14ac:dyDescent="0.3">
      <c r="A265" s="32" t="s">
        <v>580</v>
      </c>
      <c r="B265" s="32" t="s">
        <v>4</v>
      </c>
      <c r="C265" s="5" t="s">
        <v>134</v>
      </c>
      <c r="D265" s="32" t="s">
        <v>30</v>
      </c>
      <c r="E265" s="32" t="s">
        <v>221</v>
      </c>
      <c r="F265" s="6">
        <v>3577</v>
      </c>
      <c r="G265" s="6">
        <v>596</v>
      </c>
      <c r="H265" s="6">
        <v>493</v>
      </c>
      <c r="I265" s="6">
        <v>67963</v>
      </c>
      <c r="J265" s="6">
        <v>67839</v>
      </c>
      <c r="K265" s="6">
        <v>53</v>
      </c>
      <c r="L265" s="32" t="s">
        <v>39</v>
      </c>
      <c r="O265" s="32" t="s">
        <v>68</v>
      </c>
      <c r="P265" s="24">
        <f t="shared" si="13"/>
        <v>6.8655003457763777E-2</v>
      </c>
      <c r="S265" s="16" t="str">
        <f>IFERROR(_xlfn.XLOOKUP(O265,'Campaign Metadata'!$A$2:$A$5,'Campaign Metadata'!$B$2:$B$5),"")</f>
        <v>2024-12-25</v>
      </c>
      <c r="T265" s="16" t="str">
        <f>IFERROR(_xlfn.XLOOKUP(O265,'Campaign Metadata'!$A$2:$A$5,'Campaign Metadata'!$C$2:$C$5),"")</f>
        <v>2025-01-10</v>
      </c>
      <c r="U265" s="27" t="str">
        <f t="shared" si="14"/>
        <v>Before</v>
      </c>
      <c r="V265" s="7">
        <f t="shared" si="15"/>
        <v>4666</v>
      </c>
    </row>
    <row r="266" spans="1:22" ht="16.5" customHeight="1" x14ac:dyDescent="0.3">
      <c r="A266" s="32" t="s">
        <v>581</v>
      </c>
      <c r="B266" s="32" t="s">
        <v>3</v>
      </c>
      <c r="C266" s="5" t="s">
        <v>582</v>
      </c>
      <c r="D266" s="32" t="s">
        <v>30</v>
      </c>
      <c r="E266" s="32" t="s">
        <v>197</v>
      </c>
      <c r="F266" s="6">
        <v>3182</v>
      </c>
      <c r="G266" s="6">
        <v>559</v>
      </c>
      <c r="H266" s="6">
        <v>160</v>
      </c>
      <c r="I266" s="6">
        <v>57276</v>
      </c>
      <c r="J266" s="6">
        <v>56890</v>
      </c>
      <c r="K266" s="6">
        <v>163</v>
      </c>
      <c r="L266" s="32" t="s">
        <v>37</v>
      </c>
      <c r="O266" s="32" t="s">
        <v>70</v>
      </c>
      <c r="P266" s="24">
        <f t="shared" si="13"/>
        <v>6.8108806480899509E-2</v>
      </c>
      <c r="S266" s="16" t="str">
        <f>IFERROR(_xlfn.XLOOKUP(O266,'Campaign Metadata'!$A$2:$A$5,'Campaign Metadata'!$B$2:$B$5),"")</f>
        <v>2025-03-01</v>
      </c>
      <c r="T266" s="16" t="str">
        <f>IFERROR(_xlfn.XLOOKUP(O266,'Campaign Metadata'!$A$2:$A$5,'Campaign Metadata'!$C$2:$C$5),"")</f>
        <v>2025-03-31</v>
      </c>
      <c r="U266" s="27" t="str">
        <f t="shared" si="14"/>
        <v>Before</v>
      </c>
      <c r="V266" s="7">
        <f t="shared" si="15"/>
        <v>3901</v>
      </c>
    </row>
    <row r="267" spans="1:22" ht="16.5" customHeight="1" x14ac:dyDescent="0.3">
      <c r="A267" s="32" t="s">
        <v>583</v>
      </c>
      <c r="B267" s="32" t="s">
        <v>5</v>
      </c>
      <c r="C267" s="5" t="s">
        <v>584</v>
      </c>
      <c r="D267" s="32" t="s">
        <v>26</v>
      </c>
      <c r="E267" s="32" t="s">
        <v>165</v>
      </c>
      <c r="F267" s="6">
        <v>4780</v>
      </c>
      <c r="G267" s="6">
        <v>691</v>
      </c>
      <c r="H267" s="6">
        <v>380</v>
      </c>
      <c r="I267" s="6">
        <v>86040</v>
      </c>
      <c r="J267" s="6">
        <v>85743</v>
      </c>
      <c r="K267" s="6">
        <v>262</v>
      </c>
      <c r="L267" s="32" t="s">
        <v>37</v>
      </c>
      <c r="O267" s="32" t="s">
        <v>68</v>
      </c>
      <c r="P267" s="24">
        <f t="shared" si="13"/>
        <v>6.800325430032543E-2</v>
      </c>
      <c r="S267" s="16" t="str">
        <f>IFERROR(_xlfn.XLOOKUP(O267,'Campaign Metadata'!$A$2:$A$5,'Campaign Metadata'!$B$2:$B$5),"")</f>
        <v>2024-12-25</v>
      </c>
      <c r="T267" s="16" t="str">
        <f>IFERROR(_xlfn.XLOOKUP(O267,'Campaign Metadata'!$A$2:$A$5,'Campaign Metadata'!$C$2:$C$5),"")</f>
        <v>2025-01-10</v>
      </c>
      <c r="U267" s="27" t="str">
        <f t="shared" si="14"/>
        <v>Before</v>
      </c>
      <c r="V267" s="7">
        <f t="shared" si="15"/>
        <v>5851</v>
      </c>
    </row>
    <row r="268" spans="1:22" ht="16.5" customHeight="1" x14ac:dyDescent="0.3">
      <c r="A268" s="32" t="s">
        <v>585</v>
      </c>
      <c r="B268" s="32" t="s">
        <v>3</v>
      </c>
      <c r="C268" s="5" t="s">
        <v>418</v>
      </c>
      <c r="D268" s="32" t="s">
        <v>29</v>
      </c>
      <c r="E268" s="32" t="s">
        <v>145</v>
      </c>
      <c r="F268" s="6">
        <v>3770</v>
      </c>
      <c r="G268" s="6">
        <v>917</v>
      </c>
      <c r="H268" s="6">
        <v>129</v>
      </c>
      <c r="I268" s="6">
        <v>71630</v>
      </c>
      <c r="J268" s="6">
        <v>71322</v>
      </c>
      <c r="K268" s="6">
        <v>76</v>
      </c>
      <c r="L268" s="32" t="s">
        <v>37</v>
      </c>
      <c r="O268" s="32" t="s">
        <v>67</v>
      </c>
      <c r="P268" s="24">
        <f t="shared" si="13"/>
        <v>6.7234398994834563E-2</v>
      </c>
      <c r="S268" s="16" t="str">
        <f>IFERROR(_xlfn.XLOOKUP(O268,'Campaign Metadata'!$A$2:$A$5,'Campaign Metadata'!$B$2:$B$5),"")</f>
        <v>2024-06-15</v>
      </c>
      <c r="T268" s="16" t="str">
        <f>IFERROR(_xlfn.XLOOKUP(O268,'Campaign Metadata'!$A$2:$A$5,'Campaign Metadata'!$C$2:$C$5),"")</f>
        <v>2024-07-15</v>
      </c>
      <c r="U268" s="27" t="str">
        <f t="shared" si="14"/>
        <v>Before</v>
      </c>
      <c r="V268" s="7">
        <f t="shared" si="15"/>
        <v>4816</v>
      </c>
    </row>
    <row r="269" spans="1:22" ht="16.5" customHeight="1" x14ac:dyDescent="0.3">
      <c r="A269" s="32" t="s">
        <v>586</v>
      </c>
      <c r="B269" s="32" t="s">
        <v>5</v>
      </c>
      <c r="C269" s="5" t="s">
        <v>470</v>
      </c>
      <c r="D269" s="32" t="s">
        <v>28</v>
      </c>
      <c r="E269" s="32" t="s">
        <v>237</v>
      </c>
      <c r="F269" s="6">
        <v>3774</v>
      </c>
      <c r="G269" s="6">
        <v>239</v>
      </c>
      <c r="H269" s="6">
        <v>39</v>
      </c>
      <c r="I269" s="6">
        <v>60384</v>
      </c>
      <c r="J269" s="6">
        <v>59490</v>
      </c>
      <c r="K269" s="6">
        <v>241</v>
      </c>
      <c r="L269" s="32" t="s">
        <v>39</v>
      </c>
      <c r="O269" s="32" t="s">
        <v>68</v>
      </c>
      <c r="P269" s="24">
        <f t="shared" si="13"/>
        <v>6.7103868574456813E-2</v>
      </c>
      <c r="S269" s="16" t="str">
        <f>IFERROR(_xlfn.XLOOKUP(O269,'Campaign Metadata'!$A$2:$A$5,'Campaign Metadata'!$B$2:$B$5),"")</f>
        <v>2024-12-25</v>
      </c>
      <c r="T269" s="16" t="str">
        <f>IFERROR(_xlfn.XLOOKUP(O269,'Campaign Metadata'!$A$2:$A$5,'Campaign Metadata'!$C$2:$C$5),"")</f>
        <v>2025-01-10</v>
      </c>
      <c r="U269" s="27" t="str">
        <f t="shared" si="14"/>
        <v>Before</v>
      </c>
      <c r="V269" s="7">
        <f t="shared" si="15"/>
        <v>4052</v>
      </c>
    </row>
    <row r="270" spans="1:22" ht="16.5" customHeight="1" x14ac:dyDescent="0.3">
      <c r="A270" s="32" t="s">
        <v>587</v>
      </c>
      <c r="B270" s="32" t="s">
        <v>5</v>
      </c>
      <c r="C270" s="5" t="s">
        <v>588</v>
      </c>
      <c r="D270" s="32" t="s">
        <v>28</v>
      </c>
      <c r="E270" s="32" t="s">
        <v>237</v>
      </c>
      <c r="F270" s="6">
        <v>3557</v>
      </c>
      <c r="G270" s="6">
        <v>687</v>
      </c>
      <c r="H270" s="6">
        <v>424</v>
      </c>
      <c r="I270" s="6">
        <v>71140</v>
      </c>
      <c r="J270" s="6">
        <v>70701</v>
      </c>
      <c r="K270" s="6">
        <v>224</v>
      </c>
      <c r="L270" s="32" t="s">
        <v>36</v>
      </c>
      <c r="M270" s="27" t="s">
        <v>39</v>
      </c>
      <c r="O270" s="32" t="s">
        <v>67</v>
      </c>
      <c r="P270" s="24">
        <f t="shared" si="13"/>
        <v>6.5617093055946027E-2</v>
      </c>
      <c r="S270" s="16" t="str">
        <f>IFERROR(_xlfn.XLOOKUP(O270,'Campaign Metadata'!$A$2:$A$5,'Campaign Metadata'!$B$2:$B$5),"")</f>
        <v>2024-06-15</v>
      </c>
      <c r="T270" s="16" t="str">
        <f>IFERROR(_xlfn.XLOOKUP(O270,'Campaign Metadata'!$A$2:$A$5,'Campaign Metadata'!$C$2:$C$5),"")</f>
        <v>2024-07-15</v>
      </c>
      <c r="U270" s="27" t="str">
        <f t="shared" si="14"/>
        <v>During</v>
      </c>
      <c r="V270" s="7">
        <f t="shared" si="15"/>
        <v>4668</v>
      </c>
    </row>
    <row r="271" spans="1:22" ht="16.5" customHeight="1" x14ac:dyDescent="0.3">
      <c r="A271" s="32" t="s">
        <v>589</v>
      </c>
      <c r="B271" s="32" t="s">
        <v>5</v>
      </c>
      <c r="C271" s="5" t="s">
        <v>121</v>
      </c>
      <c r="D271" s="32" t="s">
        <v>30</v>
      </c>
      <c r="E271" s="32" t="s">
        <v>217</v>
      </c>
      <c r="F271" s="6">
        <v>3428</v>
      </c>
      <c r="G271" s="6">
        <v>305</v>
      </c>
      <c r="H271" s="6">
        <v>85</v>
      </c>
      <c r="I271" s="6">
        <v>58276</v>
      </c>
      <c r="J271" s="6">
        <v>58052</v>
      </c>
      <c r="K271" s="6">
        <v>242</v>
      </c>
      <c r="L271" s="32" t="s">
        <v>36</v>
      </c>
      <c r="M271" s="27" t="s">
        <v>35</v>
      </c>
      <c r="O271" s="32" t="s">
        <v>70</v>
      </c>
      <c r="P271" s="24">
        <f t="shared" si="13"/>
        <v>6.5515821264328367E-2</v>
      </c>
      <c r="S271" s="16" t="str">
        <f>IFERROR(_xlfn.XLOOKUP(O271,'Campaign Metadata'!$A$2:$A$5,'Campaign Metadata'!$B$2:$B$5),"")</f>
        <v>2025-03-01</v>
      </c>
      <c r="T271" s="16" t="str">
        <f>IFERROR(_xlfn.XLOOKUP(O271,'Campaign Metadata'!$A$2:$A$5,'Campaign Metadata'!$C$2:$C$5),"")</f>
        <v>2025-03-31</v>
      </c>
      <c r="U271" s="27" t="str">
        <f t="shared" si="14"/>
        <v>Before</v>
      </c>
      <c r="V271" s="7">
        <f t="shared" si="15"/>
        <v>3818</v>
      </c>
    </row>
    <row r="272" spans="1:22" ht="16.5" customHeight="1" x14ac:dyDescent="0.3">
      <c r="A272" s="32" t="s">
        <v>590</v>
      </c>
      <c r="B272" s="32" t="s">
        <v>5</v>
      </c>
      <c r="C272" s="5" t="s">
        <v>107</v>
      </c>
      <c r="D272" s="32" t="s">
        <v>29</v>
      </c>
      <c r="E272" s="32" t="s">
        <v>347</v>
      </c>
      <c r="F272" s="6">
        <v>4929</v>
      </c>
      <c r="G272" s="6">
        <v>749</v>
      </c>
      <c r="H272" s="6">
        <v>452</v>
      </c>
      <c r="I272" s="6">
        <v>93651</v>
      </c>
      <c r="J272" s="6">
        <v>92810</v>
      </c>
      <c r="K272" s="6">
        <v>66</v>
      </c>
      <c r="L272" s="32" t="s">
        <v>36</v>
      </c>
      <c r="O272" s="32" t="s">
        <v>70</v>
      </c>
      <c r="P272" s="24">
        <f t="shared" si="13"/>
        <v>6.5455787978772245E-2</v>
      </c>
      <c r="S272" s="16" t="str">
        <f>IFERROR(_xlfn.XLOOKUP(O272,'Campaign Metadata'!$A$2:$A$5,'Campaign Metadata'!$B$2:$B$5),"")</f>
        <v>2025-03-01</v>
      </c>
      <c r="T272" s="16" t="str">
        <f>IFERROR(_xlfn.XLOOKUP(O272,'Campaign Metadata'!$A$2:$A$5,'Campaign Metadata'!$C$2:$C$5),"")</f>
        <v>2025-03-31</v>
      </c>
      <c r="U272" s="27" t="str">
        <f t="shared" si="14"/>
        <v>Before</v>
      </c>
      <c r="V272" s="7">
        <f t="shared" si="15"/>
        <v>6130</v>
      </c>
    </row>
    <row r="273" spans="1:22" ht="16.5" customHeight="1" x14ac:dyDescent="0.3">
      <c r="A273" s="32" t="s">
        <v>591</v>
      </c>
      <c r="B273" s="32" t="s">
        <v>4</v>
      </c>
      <c r="C273" s="5" t="s">
        <v>418</v>
      </c>
      <c r="D273" s="32" t="s">
        <v>28</v>
      </c>
      <c r="E273" s="32" t="s">
        <v>177</v>
      </c>
      <c r="F273" s="6">
        <v>4782</v>
      </c>
      <c r="G273" s="6">
        <v>721</v>
      </c>
      <c r="H273" s="6">
        <v>82</v>
      </c>
      <c r="I273" s="6">
        <v>86076</v>
      </c>
      <c r="J273" s="6">
        <v>85339</v>
      </c>
      <c r="K273" s="6">
        <v>19</v>
      </c>
      <c r="L273" s="32" t="s">
        <v>36</v>
      </c>
      <c r="O273" s="32" t="s">
        <v>67</v>
      </c>
      <c r="P273" s="24">
        <f t="shared" si="13"/>
        <v>6.4884520656164318E-2</v>
      </c>
      <c r="S273" s="16" t="str">
        <f>IFERROR(_xlfn.XLOOKUP(O273,'Campaign Metadata'!$A$2:$A$5,'Campaign Metadata'!$B$2:$B$5),"")</f>
        <v>2024-06-15</v>
      </c>
      <c r="T273" s="16" t="str">
        <f>IFERROR(_xlfn.XLOOKUP(O273,'Campaign Metadata'!$A$2:$A$5,'Campaign Metadata'!$C$2:$C$5),"")</f>
        <v>2024-07-15</v>
      </c>
      <c r="U273" s="27" t="str">
        <f t="shared" si="14"/>
        <v>Before</v>
      </c>
      <c r="V273" s="7">
        <f t="shared" si="15"/>
        <v>5585</v>
      </c>
    </row>
    <row r="274" spans="1:22" ht="16.5" customHeight="1" x14ac:dyDescent="0.3">
      <c r="A274" s="32" t="s">
        <v>592</v>
      </c>
      <c r="B274" s="32" t="s">
        <v>2</v>
      </c>
      <c r="C274" s="5" t="s">
        <v>444</v>
      </c>
      <c r="D274" s="32" t="s">
        <v>30</v>
      </c>
      <c r="E274" s="32" t="s">
        <v>209</v>
      </c>
      <c r="F274" s="6">
        <v>4213</v>
      </c>
      <c r="G274" s="6">
        <v>253</v>
      </c>
      <c r="H274" s="6">
        <v>434</v>
      </c>
      <c r="I274" s="6">
        <v>75834</v>
      </c>
      <c r="J274" s="6">
        <v>75437</v>
      </c>
      <c r="K274" s="6">
        <v>272</v>
      </c>
      <c r="L274" s="32" t="s">
        <v>37</v>
      </c>
      <c r="O274" s="32" t="s">
        <v>70</v>
      </c>
      <c r="P274" s="24">
        <f t="shared" si="13"/>
        <v>6.461481657304112E-2</v>
      </c>
      <c r="S274" s="16" t="str">
        <f>IFERROR(_xlfn.XLOOKUP(O274,'Campaign Metadata'!$A$2:$A$5,'Campaign Metadata'!$B$2:$B$5),"")</f>
        <v>2025-03-01</v>
      </c>
      <c r="T274" s="16" t="str">
        <f>IFERROR(_xlfn.XLOOKUP(O274,'Campaign Metadata'!$A$2:$A$5,'Campaign Metadata'!$C$2:$C$5),"")</f>
        <v>2025-03-31</v>
      </c>
      <c r="U274" s="27" t="str">
        <f t="shared" si="14"/>
        <v>Before</v>
      </c>
      <c r="V274" s="7">
        <f t="shared" si="15"/>
        <v>4900</v>
      </c>
    </row>
    <row r="275" spans="1:22" ht="16.5" customHeight="1" x14ac:dyDescent="0.3">
      <c r="A275" s="32" t="s">
        <v>593</v>
      </c>
      <c r="B275" s="32" t="s">
        <v>2</v>
      </c>
      <c r="C275" s="5" t="s">
        <v>551</v>
      </c>
      <c r="D275" s="32" t="s">
        <v>29</v>
      </c>
      <c r="E275" s="32" t="s">
        <v>204</v>
      </c>
      <c r="F275" s="6">
        <v>4126</v>
      </c>
      <c r="G275" s="6">
        <v>426</v>
      </c>
      <c r="H275" s="6">
        <v>486</v>
      </c>
      <c r="I275" s="6">
        <v>78394</v>
      </c>
      <c r="J275" s="6">
        <v>77798</v>
      </c>
      <c r="K275" s="6">
        <v>88</v>
      </c>
      <c r="L275" s="32" t="s">
        <v>37</v>
      </c>
      <c r="O275" s="32" t="s">
        <v>70</v>
      </c>
      <c r="P275" s="24">
        <f t="shared" si="13"/>
        <v>6.4265122330790625E-2</v>
      </c>
      <c r="S275" s="16" t="str">
        <f>IFERROR(_xlfn.XLOOKUP(O275,'Campaign Metadata'!$A$2:$A$5,'Campaign Metadata'!$B$2:$B$5),"")</f>
        <v>2025-03-01</v>
      </c>
      <c r="T275" s="16" t="str">
        <f>IFERROR(_xlfn.XLOOKUP(O275,'Campaign Metadata'!$A$2:$A$5,'Campaign Metadata'!$C$2:$C$5),"")</f>
        <v>2025-03-31</v>
      </c>
      <c r="U275" s="27" t="str">
        <f t="shared" si="14"/>
        <v>Before</v>
      </c>
      <c r="V275" s="7">
        <f t="shared" si="15"/>
        <v>5038</v>
      </c>
    </row>
    <row r="276" spans="1:22" ht="16.5" customHeight="1" x14ac:dyDescent="0.3">
      <c r="A276" s="32" t="s">
        <v>594</v>
      </c>
      <c r="B276" s="32" t="s">
        <v>4</v>
      </c>
      <c r="C276" s="5" t="s">
        <v>595</v>
      </c>
      <c r="D276" s="32" t="s">
        <v>28</v>
      </c>
      <c r="E276" s="32" t="s">
        <v>177</v>
      </c>
      <c r="F276" s="6">
        <v>4187</v>
      </c>
      <c r="G276" s="6">
        <v>66</v>
      </c>
      <c r="H276" s="6">
        <v>31</v>
      </c>
      <c r="I276" s="6">
        <v>66992</v>
      </c>
      <c r="J276" s="6">
        <v>66614</v>
      </c>
      <c r="K276" s="6">
        <v>62</v>
      </c>
      <c r="L276" s="32" t="s">
        <v>37</v>
      </c>
      <c r="P276" s="24">
        <f t="shared" si="13"/>
        <v>6.3947934081681396E-2</v>
      </c>
      <c r="S276" s="16" t="str">
        <f>IFERROR(_xlfn.XLOOKUP(O276,'Campaign Metadata'!$A$2:$A$5,'Campaign Metadata'!$B$2:$B$5),"")</f>
        <v/>
      </c>
      <c r="T276" s="16" t="str">
        <f>IFERROR(_xlfn.XLOOKUP(O276,'Campaign Metadata'!$A$2:$A$5,'Campaign Metadata'!$C$2:$C$5),"")</f>
        <v/>
      </c>
      <c r="U276" s="27" t="str">
        <f t="shared" si="14"/>
        <v>No Campaign</v>
      </c>
      <c r="V276" s="7">
        <f t="shared" si="15"/>
        <v>4284</v>
      </c>
    </row>
    <row r="277" spans="1:22" ht="16.5" customHeight="1" x14ac:dyDescent="0.3">
      <c r="A277" s="32" t="s">
        <v>596</v>
      </c>
      <c r="B277" s="32" t="s">
        <v>3</v>
      </c>
      <c r="C277" s="5" t="s">
        <v>100</v>
      </c>
      <c r="D277" s="32" t="s">
        <v>26</v>
      </c>
      <c r="E277" s="32" t="s">
        <v>186</v>
      </c>
      <c r="F277" s="6">
        <v>4054</v>
      </c>
      <c r="G277" s="6">
        <v>488</v>
      </c>
      <c r="H277" s="6">
        <v>373</v>
      </c>
      <c r="I277" s="6">
        <v>77026</v>
      </c>
      <c r="J277" s="6">
        <v>76881</v>
      </c>
      <c r="K277" s="6">
        <v>25</v>
      </c>
      <c r="L277" s="32" t="s">
        <v>39</v>
      </c>
      <c r="O277" s="32" t="s">
        <v>67</v>
      </c>
      <c r="P277" s="24">
        <f t="shared" si="13"/>
        <v>6.3809622724794221E-2</v>
      </c>
      <c r="S277" s="16" t="str">
        <f>IFERROR(_xlfn.XLOOKUP(O277,'Campaign Metadata'!$A$2:$A$5,'Campaign Metadata'!$B$2:$B$5),"")</f>
        <v>2024-06-15</v>
      </c>
      <c r="T277" s="16" t="str">
        <f>IFERROR(_xlfn.XLOOKUP(O277,'Campaign Metadata'!$A$2:$A$5,'Campaign Metadata'!$C$2:$C$5),"")</f>
        <v>2024-07-15</v>
      </c>
      <c r="U277" s="27" t="str">
        <f t="shared" si="14"/>
        <v>Before</v>
      </c>
      <c r="V277" s="7">
        <f t="shared" si="15"/>
        <v>4915</v>
      </c>
    </row>
    <row r="278" spans="1:22" ht="16.5" customHeight="1" x14ac:dyDescent="0.3">
      <c r="A278" s="32" t="s">
        <v>597</v>
      </c>
      <c r="B278" s="32" t="s">
        <v>2</v>
      </c>
      <c r="C278" s="5" t="s">
        <v>313</v>
      </c>
      <c r="D278" s="32" t="s">
        <v>26</v>
      </c>
      <c r="E278" s="32" t="s">
        <v>273</v>
      </c>
      <c r="F278" s="6">
        <v>4712</v>
      </c>
      <c r="G278" s="6">
        <v>568</v>
      </c>
      <c r="H278" s="6">
        <v>127</v>
      </c>
      <c r="I278" s="6">
        <v>84816</v>
      </c>
      <c r="J278" s="6">
        <v>84691</v>
      </c>
      <c r="K278" s="6">
        <v>100</v>
      </c>
      <c r="L278" s="32" t="s">
        <v>36</v>
      </c>
      <c r="O278" s="32" t="s">
        <v>68</v>
      </c>
      <c r="P278" s="24">
        <f t="shared" si="13"/>
        <v>6.3749764195434822E-2</v>
      </c>
      <c r="S278" s="16" t="str">
        <f>IFERROR(_xlfn.XLOOKUP(O278,'Campaign Metadata'!$A$2:$A$5,'Campaign Metadata'!$B$2:$B$5),"")</f>
        <v>2024-12-25</v>
      </c>
      <c r="T278" s="16" t="str">
        <f>IFERROR(_xlfn.XLOOKUP(O278,'Campaign Metadata'!$A$2:$A$5,'Campaign Metadata'!$C$2:$C$5),"")</f>
        <v>2025-01-10</v>
      </c>
      <c r="U278" s="27" t="str">
        <f t="shared" si="14"/>
        <v>Before</v>
      </c>
      <c r="V278" s="7">
        <f t="shared" si="15"/>
        <v>5407</v>
      </c>
    </row>
    <row r="279" spans="1:22" ht="16.5" customHeight="1" x14ac:dyDescent="0.3">
      <c r="A279" s="32" t="s">
        <v>598</v>
      </c>
      <c r="B279" s="32" t="s">
        <v>5</v>
      </c>
      <c r="C279" s="5" t="s">
        <v>599</v>
      </c>
      <c r="D279" s="32" t="s">
        <v>26</v>
      </c>
      <c r="E279" s="32" t="s">
        <v>165</v>
      </c>
      <c r="F279" s="6">
        <v>4295</v>
      </c>
      <c r="G279" s="6">
        <v>853</v>
      </c>
      <c r="H279" s="6">
        <v>325</v>
      </c>
      <c r="I279" s="6">
        <v>85900</v>
      </c>
      <c r="J279" s="6">
        <v>85788</v>
      </c>
      <c r="K279" s="6">
        <v>290</v>
      </c>
      <c r="L279" s="32" t="s">
        <v>39</v>
      </c>
      <c r="O279" s="32" t="s">
        <v>70</v>
      </c>
      <c r="P279" s="24">
        <f t="shared" si="13"/>
        <v>6.3713620488940623E-2</v>
      </c>
      <c r="S279" s="16" t="str">
        <f>IFERROR(_xlfn.XLOOKUP(O279,'Campaign Metadata'!$A$2:$A$5,'Campaign Metadata'!$B$2:$B$5),"")</f>
        <v>2025-03-01</v>
      </c>
      <c r="T279" s="16" t="str">
        <f>IFERROR(_xlfn.XLOOKUP(O279,'Campaign Metadata'!$A$2:$A$5,'Campaign Metadata'!$C$2:$C$5),"")</f>
        <v>2025-03-31</v>
      </c>
      <c r="U279" s="27" t="str">
        <f t="shared" si="14"/>
        <v>Before</v>
      </c>
      <c r="V279" s="7">
        <f t="shared" si="15"/>
        <v>5473</v>
      </c>
    </row>
    <row r="280" spans="1:22" ht="16.5" customHeight="1" x14ac:dyDescent="0.3">
      <c r="A280" s="32" t="s">
        <v>600</v>
      </c>
      <c r="B280" s="32" t="s">
        <v>5</v>
      </c>
      <c r="C280" s="5" t="s">
        <v>601</v>
      </c>
      <c r="D280" s="32" t="s">
        <v>27</v>
      </c>
      <c r="E280" s="32" t="s">
        <v>168</v>
      </c>
      <c r="F280" s="6">
        <v>3166</v>
      </c>
      <c r="G280" s="6">
        <v>90</v>
      </c>
      <c r="H280" s="6">
        <v>341</v>
      </c>
      <c r="I280" s="6">
        <v>56988</v>
      </c>
      <c r="J280" s="6">
        <v>56125</v>
      </c>
      <c r="K280" s="6">
        <v>135</v>
      </c>
      <c r="L280" s="32" t="s">
        <v>36</v>
      </c>
      <c r="O280" s="32" t="s">
        <v>69</v>
      </c>
      <c r="P280" s="24">
        <f t="shared" si="13"/>
        <v>6.3118551273952411E-2</v>
      </c>
      <c r="S280" s="16" t="str">
        <f>IFERROR(_xlfn.XLOOKUP(O280,'Campaign Metadata'!$A$2:$A$5,'Campaign Metadata'!$B$2:$B$5),"")</f>
        <v>2024-10-01</v>
      </c>
      <c r="T280" s="16" t="str">
        <f>IFERROR(_xlfn.XLOOKUP(O280,'Campaign Metadata'!$A$2:$A$5,'Campaign Metadata'!$C$2:$C$5),"")</f>
        <v>2024-10-31</v>
      </c>
      <c r="U280" s="27" t="str">
        <f t="shared" si="14"/>
        <v>Before</v>
      </c>
      <c r="V280" s="7">
        <f t="shared" si="15"/>
        <v>3597</v>
      </c>
    </row>
    <row r="281" spans="1:22" ht="16.5" customHeight="1" x14ac:dyDescent="0.3">
      <c r="A281" s="32" t="s">
        <v>602</v>
      </c>
      <c r="B281" s="32" t="s">
        <v>2</v>
      </c>
      <c r="C281" s="5" t="s">
        <v>378</v>
      </c>
      <c r="D281" s="32" t="s">
        <v>27</v>
      </c>
      <c r="E281" s="32" t="s">
        <v>183</v>
      </c>
      <c r="F281" s="6">
        <v>4606</v>
      </c>
      <c r="G281" s="6">
        <v>931</v>
      </c>
      <c r="H281" s="6">
        <v>230</v>
      </c>
      <c r="I281" s="6">
        <v>92120</v>
      </c>
      <c r="J281" s="6">
        <v>91440</v>
      </c>
      <c r="K281" s="6">
        <v>56</v>
      </c>
      <c r="L281" s="32" t="s">
        <v>39</v>
      </c>
      <c r="P281" s="24">
        <f t="shared" si="13"/>
        <v>6.2603126356925748E-2</v>
      </c>
      <c r="S281" s="16" t="str">
        <f>IFERROR(_xlfn.XLOOKUP(O281,'Campaign Metadata'!$A$2:$A$5,'Campaign Metadata'!$B$2:$B$5),"")</f>
        <v/>
      </c>
      <c r="T281" s="16" t="str">
        <f>IFERROR(_xlfn.XLOOKUP(O281,'Campaign Metadata'!$A$2:$A$5,'Campaign Metadata'!$C$2:$C$5),"")</f>
        <v/>
      </c>
      <c r="U281" s="27" t="str">
        <f t="shared" si="14"/>
        <v>No Campaign</v>
      </c>
      <c r="V281" s="7">
        <f t="shared" si="15"/>
        <v>5767</v>
      </c>
    </row>
    <row r="282" spans="1:22" ht="16.5" customHeight="1" x14ac:dyDescent="0.3">
      <c r="A282" s="32" t="s">
        <v>603</v>
      </c>
      <c r="B282" s="32" t="s">
        <v>2</v>
      </c>
      <c r="C282" s="5" t="s">
        <v>131</v>
      </c>
      <c r="D282" s="32" t="s">
        <v>28</v>
      </c>
      <c r="E282" s="32" t="s">
        <v>278</v>
      </c>
      <c r="F282" s="6">
        <v>3718</v>
      </c>
      <c r="G282" s="6">
        <v>385</v>
      </c>
      <c r="H282" s="6">
        <v>310</v>
      </c>
      <c r="I282" s="6">
        <v>70642</v>
      </c>
      <c r="J282" s="6">
        <v>69749</v>
      </c>
      <c r="K282" s="6">
        <v>233</v>
      </c>
      <c r="L282" s="32" t="s">
        <v>39</v>
      </c>
      <c r="O282" s="32" t="s">
        <v>69</v>
      </c>
      <c r="P282" s="24">
        <f t="shared" si="13"/>
        <v>6.246991874522239E-2</v>
      </c>
      <c r="S282" s="16" t="str">
        <f>IFERROR(_xlfn.XLOOKUP(O282,'Campaign Metadata'!$A$2:$A$5,'Campaign Metadata'!$B$2:$B$5),"")</f>
        <v>2024-10-01</v>
      </c>
      <c r="T282" s="16" t="str">
        <f>IFERROR(_xlfn.XLOOKUP(O282,'Campaign Metadata'!$A$2:$A$5,'Campaign Metadata'!$C$2:$C$5),"")</f>
        <v>2024-10-31</v>
      </c>
      <c r="U282" s="27" t="str">
        <f t="shared" si="14"/>
        <v>Before</v>
      </c>
      <c r="V282" s="7">
        <f t="shared" si="15"/>
        <v>4413</v>
      </c>
    </row>
    <row r="283" spans="1:22" ht="16.5" customHeight="1" x14ac:dyDescent="0.3">
      <c r="A283" s="32" t="s">
        <v>604</v>
      </c>
      <c r="B283" s="32" t="s">
        <v>5</v>
      </c>
      <c r="C283" s="5" t="s">
        <v>605</v>
      </c>
      <c r="D283" s="32" t="s">
        <v>27</v>
      </c>
      <c r="E283" s="32" t="s">
        <v>168</v>
      </c>
      <c r="F283" s="6">
        <v>4832</v>
      </c>
      <c r="G283" s="6">
        <v>893</v>
      </c>
      <c r="H283" s="6">
        <v>10</v>
      </c>
      <c r="I283" s="6">
        <v>91808</v>
      </c>
      <c r="J283" s="6">
        <v>91296</v>
      </c>
      <c r="K283" s="6">
        <v>182</v>
      </c>
      <c r="L283" s="32" t="s">
        <v>39</v>
      </c>
      <c r="P283" s="24">
        <f t="shared" si="13"/>
        <v>6.2467323109097243E-2</v>
      </c>
      <c r="S283" s="16" t="str">
        <f>IFERROR(_xlfn.XLOOKUP(O283,'Campaign Metadata'!$A$2:$A$5,'Campaign Metadata'!$B$2:$B$5),"")</f>
        <v/>
      </c>
      <c r="T283" s="16" t="str">
        <f>IFERROR(_xlfn.XLOOKUP(O283,'Campaign Metadata'!$A$2:$A$5,'Campaign Metadata'!$C$2:$C$5),"")</f>
        <v/>
      </c>
      <c r="U283" s="27" t="str">
        <f t="shared" si="14"/>
        <v>No Campaign</v>
      </c>
      <c r="V283" s="7">
        <f t="shared" si="15"/>
        <v>5735</v>
      </c>
    </row>
    <row r="284" spans="1:22" ht="16.5" customHeight="1" x14ac:dyDescent="0.3">
      <c r="A284" s="32" t="s">
        <v>606</v>
      </c>
      <c r="B284" s="32" t="s">
        <v>4</v>
      </c>
      <c r="C284" s="5" t="s">
        <v>607</v>
      </c>
      <c r="D284" s="32" t="s">
        <v>27</v>
      </c>
      <c r="E284" s="32" t="s">
        <v>162</v>
      </c>
      <c r="F284" s="6">
        <v>2493</v>
      </c>
      <c r="G284" s="6">
        <v>97</v>
      </c>
      <c r="H284" s="6">
        <v>44</v>
      </c>
      <c r="I284" s="6">
        <v>42381</v>
      </c>
      <c r="J284" s="6">
        <v>41991</v>
      </c>
      <c r="K284" s="6">
        <v>242</v>
      </c>
      <c r="L284" s="32" t="s">
        <v>39</v>
      </c>
      <c r="M284" s="27" t="s">
        <v>34</v>
      </c>
      <c r="O284" s="32" t="s">
        <v>70</v>
      </c>
      <c r="P284" s="24">
        <f t="shared" si="13"/>
        <v>6.2150491965739366E-2</v>
      </c>
      <c r="S284" s="16" t="str">
        <f>IFERROR(_xlfn.XLOOKUP(O284,'Campaign Metadata'!$A$2:$A$5,'Campaign Metadata'!$B$2:$B$5),"")</f>
        <v>2025-03-01</v>
      </c>
      <c r="T284" s="16" t="str">
        <f>IFERROR(_xlfn.XLOOKUP(O284,'Campaign Metadata'!$A$2:$A$5,'Campaign Metadata'!$C$2:$C$5),"")</f>
        <v>2025-03-31</v>
      </c>
      <c r="U284" s="27" t="str">
        <f t="shared" si="14"/>
        <v>Before</v>
      </c>
      <c r="V284" s="7">
        <f t="shared" si="15"/>
        <v>2634</v>
      </c>
    </row>
    <row r="285" spans="1:22" ht="16.5" customHeight="1" x14ac:dyDescent="0.3">
      <c r="A285" s="32" t="s">
        <v>608</v>
      </c>
      <c r="B285" s="32" t="s">
        <v>4</v>
      </c>
      <c r="C285" s="5" t="s">
        <v>547</v>
      </c>
      <c r="D285" s="32" t="s">
        <v>27</v>
      </c>
      <c r="E285" s="32" t="s">
        <v>162</v>
      </c>
      <c r="F285" s="6">
        <v>3338</v>
      </c>
      <c r="G285" s="6">
        <v>277</v>
      </c>
      <c r="H285" s="6">
        <v>118</v>
      </c>
      <c r="I285" s="6">
        <v>60084</v>
      </c>
      <c r="J285" s="6">
        <v>59842</v>
      </c>
      <c r="K285" s="6">
        <v>252</v>
      </c>
      <c r="L285" s="32" t="s">
        <v>39</v>
      </c>
      <c r="P285" s="24">
        <f t="shared" si="13"/>
        <v>6.2129685107516146E-2</v>
      </c>
      <c r="S285" s="16" t="str">
        <f>IFERROR(_xlfn.XLOOKUP(O285,'Campaign Metadata'!$A$2:$A$5,'Campaign Metadata'!$B$2:$B$5),"")</f>
        <v/>
      </c>
      <c r="T285" s="16" t="str">
        <f>IFERROR(_xlfn.XLOOKUP(O285,'Campaign Metadata'!$A$2:$A$5,'Campaign Metadata'!$C$2:$C$5),"")</f>
        <v/>
      </c>
      <c r="U285" s="27" t="str">
        <f t="shared" si="14"/>
        <v>No Campaign</v>
      </c>
      <c r="V285" s="7">
        <f t="shared" si="15"/>
        <v>3733</v>
      </c>
    </row>
    <row r="286" spans="1:22" ht="16.5" customHeight="1" x14ac:dyDescent="0.3">
      <c r="A286" s="32" t="s">
        <v>609</v>
      </c>
      <c r="B286" s="32" t="s">
        <v>5</v>
      </c>
      <c r="C286" s="5" t="s">
        <v>99</v>
      </c>
      <c r="D286" s="32" t="s">
        <v>27</v>
      </c>
      <c r="E286" s="32" t="s">
        <v>168</v>
      </c>
      <c r="F286" s="6">
        <v>4905</v>
      </c>
      <c r="G286" s="6">
        <v>845</v>
      </c>
      <c r="H286" s="6">
        <v>129</v>
      </c>
      <c r="I286" s="6">
        <v>98100</v>
      </c>
      <c r="J286" s="6">
        <v>97772</v>
      </c>
      <c r="K286" s="6">
        <v>279</v>
      </c>
      <c r="L286" s="32" t="s">
        <v>39</v>
      </c>
      <c r="O286" s="32" t="s">
        <v>69</v>
      </c>
      <c r="P286" s="24">
        <f t="shared" si="13"/>
        <v>5.9928644240570844E-2</v>
      </c>
      <c r="S286" s="16" t="str">
        <f>IFERROR(_xlfn.XLOOKUP(O286,'Campaign Metadata'!$A$2:$A$5,'Campaign Metadata'!$B$2:$B$5),"")</f>
        <v>2024-10-01</v>
      </c>
      <c r="T286" s="16" t="str">
        <f>IFERROR(_xlfn.XLOOKUP(O286,'Campaign Metadata'!$A$2:$A$5,'Campaign Metadata'!$C$2:$C$5),"")</f>
        <v>2024-10-31</v>
      </c>
      <c r="U286" s="27" t="str">
        <f t="shared" si="14"/>
        <v>Before</v>
      </c>
      <c r="V286" s="7">
        <f t="shared" si="15"/>
        <v>5879</v>
      </c>
    </row>
    <row r="287" spans="1:22" ht="16.5" customHeight="1" x14ac:dyDescent="0.3">
      <c r="A287" s="32" t="s">
        <v>610</v>
      </c>
      <c r="B287" s="32" t="s">
        <v>4</v>
      </c>
      <c r="C287" s="5" t="s">
        <v>611</v>
      </c>
      <c r="D287" s="32" t="s">
        <v>26</v>
      </c>
      <c r="E287" s="32" t="s">
        <v>159</v>
      </c>
      <c r="F287" s="6">
        <v>3128</v>
      </c>
      <c r="G287" s="6">
        <v>211</v>
      </c>
      <c r="H287" s="6">
        <v>197</v>
      </c>
      <c r="I287" s="6">
        <v>59432</v>
      </c>
      <c r="J287" s="6">
        <v>59182</v>
      </c>
      <c r="K287" s="6">
        <v>238</v>
      </c>
      <c r="L287" s="32" t="s">
        <v>36</v>
      </c>
      <c r="P287" s="24">
        <f t="shared" si="13"/>
        <v>5.9496567505720827E-2</v>
      </c>
      <c r="S287" s="16" t="str">
        <f>IFERROR(_xlfn.XLOOKUP(O287,'Campaign Metadata'!$A$2:$A$5,'Campaign Metadata'!$B$2:$B$5),"")</f>
        <v/>
      </c>
      <c r="T287" s="16" t="str">
        <f>IFERROR(_xlfn.XLOOKUP(O287,'Campaign Metadata'!$A$2:$A$5,'Campaign Metadata'!$C$2:$C$5),"")</f>
        <v/>
      </c>
      <c r="U287" s="27" t="str">
        <f t="shared" si="14"/>
        <v>No Campaign</v>
      </c>
      <c r="V287" s="7">
        <f t="shared" si="15"/>
        <v>3536</v>
      </c>
    </row>
    <row r="288" spans="1:22" ht="16.5" customHeight="1" x14ac:dyDescent="0.3">
      <c r="A288" s="32" t="s">
        <v>612</v>
      </c>
      <c r="B288" s="32" t="s">
        <v>2</v>
      </c>
      <c r="C288" s="5" t="s">
        <v>613</v>
      </c>
      <c r="D288" s="32" t="s">
        <v>31</v>
      </c>
      <c r="E288" s="32" t="s">
        <v>171</v>
      </c>
      <c r="F288" s="6">
        <v>3888</v>
      </c>
      <c r="G288" s="6">
        <v>604</v>
      </c>
      <c r="H288" s="6">
        <v>128</v>
      </c>
      <c r="I288" s="6">
        <v>77760</v>
      </c>
      <c r="J288" s="6">
        <v>77167</v>
      </c>
      <c r="K288" s="6">
        <v>20</v>
      </c>
      <c r="L288" s="32" t="s">
        <v>37</v>
      </c>
      <c r="O288" s="32" t="s">
        <v>67</v>
      </c>
      <c r="P288" s="24">
        <f t="shared" si="13"/>
        <v>5.941358024691358E-2</v>
      </c>
      <c r="S288" s="16" t="str">
        <f>IFERROR(_xlfn.XLOOKUP(O288,'Campaign Metadata'!$A$2:$A$5,'Campaign Metadata'!$B$2:$B$5),"")</f>
        <v>2024-06-15</v>
      </c>
      <c r="T288" s="16" t="str">
        <f>IFERROR(_xlfn.XLOOKUP(O288,'Campaign Metadata'!$A$2:$A$5,'Campaign Metadata'!$C$2:$C$5),"")</f>
        <v>2024-07-15</v>
      </c>
      <c r="U288" s="27" t="str">
        <f t="shared" si="14"/>
        <v>Before</v>
      </c>
      <c r="V288" s="7">
        <f t="shared" si="15"/>
        <v>4620</v>
      </c>
    </row>
    <row r="289" spans="1:22" ht="16.5" customHeight="1" x14ac:dyDescent="0.3">
      <c r="A289" s="32" t="s">
        <v>614</v>
      </c>
      <c r="B289" s="32" t="s">
        <v>4</v>
      </c>
      <c r="C289" s="5" t="s">
        <v>615</v>
      </c>
      <c r="D289" s="32" t="s">
        <v>31</v>
      </c>
      <c r="E289" s="32" t="s">
        <v>249</v>
      </c>
      <c r="F289" s="6">
        <v>3440</v>
      </c>
      <c r="G289" s="6">
        <v>13</v>
      </c>
      <c r="H289" s="6">
        <v>20</v>
      </c>
      <c r="I289" s="6">
        <v>58480</v>
      </c>
      <c r="J289" s="6">
        <v>58146</v>
      </c>
      <c r="K289" s="6">
        <v>210</v>
      </c>
      <c r="L289" s="32" t="s">
        <v>39</v>
      </c>
      <c r="M289" s="27" t="s">
        <v>38</v>
      </c>
      <c r="O289" s="32" t="s">
        <v>70</v>
      </c>
      <c r="P289" s="24">
        <f t="shared" si="13"/>
        <v>5.9387824897400819E-2</v>
      </c>
      <c r="S289" s="16" t="str">
        <f>IFERROR(_xlfn.XLOOKUP(O289,'Campaign Metadata'!$A$2:$A$5,'Campaign Metadata'!$B$2:$B$5),"")</f>
        <v>2025-03-01</v>
      </c>
      <c r="T289" s="16" t="str">
        <f>IFERROR(_xlfn.XLOOKUP(O289,'Campaign Metadata'!$A$2:$A$5,'Campaign Metadata'!$C$2:$C$5),"")</f>
        <v>2025-03-31</v>
      </c>
      <c r="U289" s="27" t="str">
        <f t="shared" si="14"/>
        <v>Before</v>
      </c>
      <c r="V289" s="7">
        <f t="shared" si="15"/>
        <v>3473</v>
      </c>
    </row>
    <row r="290" spans="1:22" ht="16.5" customHeight="1" x14ac:dyDescent="0.3">
      <c r="A290" s="32" t="s">
        <v>616</v>
      </c>
      <c r="B290" s="32" t="s">
        <v>2</v>
      </c>
      <c r="C290" s="5" t="s">
        <v>613</v>
      </c>
      <c r="D290" s="32" t="s">
        <v>27</v>
      </c>
      <c r="E290" s="32" t="s">
        <v>183</v>
      </c>
      <c r="F290" s="6">
        <v>4303</v>
      </c>
      <c r="G290" s="6">
        <v>451</v>
      </c>
      <c r="H290" s="6">
        <v>286</v>
      </c>
      <c r="I290" s="6">
        <v>86060</v>
      </c>
      <c r="J290" s="6">
        <v>85823</v>
      </c>
      <c r="K290" s="6">
        <v>14</v>
      </c>
      <c r="L290" s="32" t="s">
        <v>39</v>
      </c>
      <c r="O290" s="32" t="s">
        <v>68</v>
      </c>
      <c r="P290" s="24">
        <f t="shared" si="13"/>
        <v>5.8563792702765516E-2</v>
      </c>
      <c r="S290" s="16" t="str">
        <f>IFERROR(_xlfn.XLOOKUP(O290,'Campaign Metadata'!$A$2:$A$5,'Campaign Metadata'!$B$2:$B$5),"")</f>
        <v>2024-12-25</v>
      </c>
      <c r="T290" s="16" t="str">
        <f>IFERROR(_xlfn.XLOOKUP(O290,'Campaign Metadata'!$A$2:$A$5,'Campaign Metadata'!$C$2:$C$5),"")</f>
        <v>2025-01-10</v>
      </c>
      <c r="U290" s="27" t="str">
        <f t="shared" si="14"/>
        <v>Before</v>
      </c>
      <c r="V290" s="7">
        <f t="shared" si="15"/>
        <v>5040</v>
      </c>
    </row>
    <row r="291" spans="1:22" ht="16.5" customHeight="1" x14ac:dyDescent="0.3">
      <c r="A291" s="32" t="s">
        <v>617</v>
      </c>
      <c r="B291" s="32" t="s">
        <v>5</v>
      </c>
      <c r="C291" s="5" t="s">
        <v>94</v>
      </c>
      <c r="D291" s="32" t="s">
        <v>29</v>
      </c>
      <c r="E291" s="32" t="s">
        <v>347</v>
      </c>
      <c r="F291" s="6">
        <v>1509</v>
      </c>
      <c r="G291" s="6">
        <v>88</v>
      </c>
      <c r="H291" s="6">
        <v>163</v>
      </c>
      <c r="I291" s="6">
        <v>30180</v>
      </c>
      <c r="J291" s="6">
        <v>29689</v>
      </c>
      <c r="K291" s="6">
        <v>119</v>
      </c>
      <c r="L291" s="32" t="s">
        <v>36</v>
      </c>
      <c r="O291" s="32" t="s">
        <v>69</v>
      </c>
      <c r="P291" s="24">
        <f t="shared" si="13"/>
        <v>5.8316766070245198E-2</v>
      </c>
      <c r="S291" s="16" t="str">
        <f>IFERROR(_xlfn.XLOOKUP(O291,'Campaign Metadata'!$A$2:$A$5,'Campaign Metadata'!$B$2:$B$5),"")</f>
        <v>2024-10-01</v>
      </c>
      <c r="T291" s="16" t="str">
        <f>IFERROR(_xlfn.XLOOKUP(O291,'Campaign Metadata'!$A$2:$A$5,'Campaign Metadata'!$C$2:$C$5),"")</f>
        <v>2024-10-31</v>
      </c>
      <c r="U291" s="27" t="str">
        <f t="shared" si="14"/>
        <v>Before</v>
      </c>
      <c r="V291" s="7">
        <f t="shared" si="15"/>
        <v>1760</v>
      </c>
    </row>
    <row r="292" spans="1:22" ht="16.5" customHeight="1" x14ac:dyDescent="0.3">
      <c r="A292" s="32" t="s">
        <v>618</v>
      </c>
      <c r="B292" s="32" t="s">
        <v>4</v>
      </c>
      <c r="C292" s="5" t="s">
        <v>619</v>
      </c>
      <c r="D292" s="32" t="s">
        <v>28</v>
      </c>
      <c r="E292" s="32" t="s">
        <v>177</v>
      </c>
      <c r="F292" s="6">
        <v>3367</v>
      </c>
      <c r="G292" s="6">
        <v>302</v>
      </c>
      <c r="H292" s="6">
        <v>57</v>
      </c>
      <c r="I292" s="6">
        <v>63973</v>
      </c>
      <c r="J292" s="6">
        <v>63789</v>
      </c>
      <c r="K292" s="6">
        <v>157</v>
      </c>
      <c r="L292" s="32" t="s">
        <v>37</v>
      </c>
      <c r="O292" s="32" t="s">
        <v>69</v>
      </c>
      <c r="P292" s="24">
        <f t="shared" si="13"/>
        <v>5.8243321401216137E-2</v>
      </c>
      <c r="S292" s="16" t="str">
        <f>IFERROR(_xlfn.XLOOKUP(O292,'Campaign Metadata'!$A$2:$A$5,'Campaign Metadata'!$B$2:$B$5),"")</f>
        <v>2024-10-01</v>
      </c>
      <c r="T292" s="16" t="str">
        <f>IFERROR(_xlfn.XLOOKUP(O292,'Campaign Metadata'!$A$2:$A$5,'Campaign Metadata'!$C$2:$C$5),"")</f>
        <v>2024-10-31</v>
      </c>
      <c r="U292" s="27" t="str">
        <f t="shared" si="14"/>
        <v>Before</v>
      </c>
      <c r="V292" s="7">
        <f t="shared" si="15"/>
        <v>3726</v>
      </c>
    </row>
    <row r="293" spans="1:22" ht="16.5" customHeight="1" x14ac:dyDescent="0.3">
      <c r="A293" s="32" t="s">
        <v>620</v>
      </c>
      <c r="B293" s="32" t="s">
        <v>5</v>
      </c>
      <c r="C293" s="5" t="s">
        <v>176</v>
      </c>
      <c r="D293" s="32" t="s">
        <v>26</v>
      </c>
      <c r="E293" s="32" t="s">
        <v>165</v>
      </c>
      <c r="F293" s="6">
        <v>2143</v>
      </c>
      <c r="G293" s="6">
        <v>12</v>
      </c>
      <c r="H293" s="6">
        <v>204</v>
      </c>
      <c r="I293" s="6">
        <v>40717</v>
      </c>
      <c r="J293" s="6">
        <v>40125</v>
      </c>
      <c r="K293" s="6">
        <v>248</v>
      </c>
      <c r="L293" s="32" t="s">
        <v>36</v>
      </c>
      <c r="O293" s="32" t="s">
        <v>69</v>
      </c>
      <c r="P293" s="24">
        <f t="shared" si="13"/>
        <v>5.7936488444630008E-2</v>
      </c>
      <c r="S293" s="16" t="str">
        <f>IFERROR(_xlfn.XLOOKUP(O293,'Campaign Metadata'!$A$2:$A$5,'Campaign Metadata'!$B$2:$B$5),"")</f>
        <v>2024-10-01</v>
      </c>
      <c r="T293" s="16" t="str">
        <f>IFERROR(_xlfn.XLOOKUP(O293,'Campaign Metadata'!$A$2:$A$5,'Campaign Metadata'!$C$2:$C$5),"")</f>
        <v>2024-10-31</v>
      </c>
      <c r="U293" s="27" t="str">
        <f t="shared" si="14"/>
        <v>Before</v>
      </c>
      <c r="V293" s="7">
        <f t="shared" si="15"/>
        <v>2359</v>
      </c>
    </row>
    <row r="294" spans="1:22" ht="16.5" customHeight="1" x14ac:dyDescent="0.3">
      <c r="A294" s="32" t="s">
        <v>621</v>
      </c>
      <c r="B294" s="32" t="s">
        <v>3</v>
      </c>
      <c r="C294" s="5" t="s">
        <v>622</v>
      </c>
      <c r="D294" s="32" t="s">
        <v>31</v>
      </c>
      <c r="E294" s="32" t="s">
        <v>154</v>
      </c>
      <c r="F294" s="6">
        <v>3095</v>
      </c>
      <c r="G294" s="6">
        <v>39</v>
      </c>
      <c r="H294" s="6">
        <v>78</v>
      </c>
      <c r="I294" s="6">
        <v>55710</v>
      </c>
      <c r="J294" s="6">
        <v>54808</v>
      </c>
      <c r="K294" s="6">
        <v>93</v>
      </c>
      <c r="L294" s="32" t="s">
        <v>36</v>
      </c>
      <c r="P294" s="24">
        <f t="shared" si="13"/>
        <v>5.7655717106444085E-2</v>
      </c>
      <c r="S294" s="16" t="str">
        <f>IFERROR(_xlfn.XLOOKUP(O294,'Campaign Metadata'!$A$2:$A$5,'Campaign Metadata'!$B$2:$B$5),"")</f>
        <v/>
      </c>
      <c r="T294" s="16" t="str">
        <f>IFERROR(_xlfn.XLOOKUP(O294,'Campaign Metadata'!$A$2:$A$5,'Campaign Metadata'!$C$2:$C$5),"")</f>
        <v/>
      </c>
      <c r="U294" s="27" t="str">
        <f t="shared" si="14"/>
        <v>No Campaign</v>
      </c>
      <c r="V294" s="7">
        <f t="shared" si="15"/>
        <v>3212</v>
      </c>
    </row>
    <row r="295" spans="1:22" ht="16.5" customHeight="1" x14ac:dyDescent="0.3">
      <c r="A295" s="32" t="s">
        <v>623</v>
      </c>
      <c r="B295" s="32" t="s">
        <v>3</v>
      </c>
      <c r="C295" s="5" t="s">
        <v>624</v>
      </c>
      <c r="D295" s="32" t="s">
        <v>26</v>
      </c>
      <c r="E295" s="32" t="s">
        <v>186</v>
      </c>
      <c r="F295" s="6">
        <v>3773</v>
      </c>
      <c r="G295" s="6">
        <v>299</v>
      </c>
      <c r="H295" s="6">
        <v>38</v>
      </c>
      <c r="I295" s="6">
        <v>71687</v>
      </c>
      <c r="J295" s="6">
        <v>71447</v>
      </c>
      <c r="K295" s="6">
        <v>286</v>
      </c>
      <c r="L295" s="32" t="s">
        <v>37</v>
      </c>
      <c r="O295" s="32" t="s">
        <v>67</v>
      </c>
      <c r="P295" s="24">
        <f t="shared" si="13"/>
        <v>5.7332570758993957E-2</v>
      </c>
      <c r="S295" s="16" t="str">
        <f>IFERROR(_xlfn.XLOOKUP(O295,'Campaign Metadata'!$A$2:$A$5,'Campaign Metadata'!$B$2:$B$5),"")</f>
        <v>2024-06-15</v>
      </c>
      <c r="T295" s="16" t="str">
        <f>IFERROR(_xlfn.XLOOKUP(O295,'Campaign Metadata'!$A$2:$A$5,'Campaign Metadata'!$C$2:$C$5),"")</f>
        <v>2024-07-15</v>
      </c>
      <c r="U295" s="27" t="str">
        <f t="shared" si="14"/>
        <v>Before</v>
      </c>
      <c r="V295" s="7">
        <f t="shared" si="15"/>
        <v>4110</v>
      </c>
    </row>
    <row r="296" spans="1:22" ht="16.5" customHeight="1" x14ac:dyDescent="0.3">
      <c r="A296" s="32" t="s">
        <v>625</v>
      </c>
      <c r="B296" s="32" t="s">
        <v>4</v>
      </c>
      <c r="C296" s="5" t="s">
        <v>626</v>
      </c>
      <c r="D296" s="32" t="s">
        <v>26</v>
      </c>
      <c r="E296" s="32" t="s">
        <v>159</v>
      </c>
      <c r="F296" s="6">
        <v>4672</v>
      </c>
      <c r="G296" s="6">
        <v>325</v>
      </c>
      <c r="H296" s="6">
        <v>32</v>
      </c>
      <c r="I296" s="6">
        <v>88768</v>
      </c>
      <c r="J296" s="6">
        <v>87833</v>
      </c>
      <c r="K296" s="6">
        <v>118</v>
      </c>
      <c r="L296" s="32" t="s">
        <v>36</v>
      </c>
      <c r="P296" s="24">
        <f t="shared" si="13"/>
        <v>5.6653298485940883E-2</v>
      </c>
      <c r="S296" s="16" t="str">
        <f>IFERROR(_xlfn.XLOOKUP(O296,'Campaign Metadata'!$A$2:$A$5,'Campaign Metadata'!$B$2:$B$5),"")</f>
        <v/>
      </c>
      <c r="T296" s="16" t="str">
        <f>IFERROR(_xlfn.XLOOKUP(O296,'Campaign Metadata'!$A$2:$A$5,'Campaign Metadata'!$C$2:$C$5),"")</f>
        <v/>
      </c>
      <c r="U296" s="27" t="str">
        <f t="shared" si="14"/>
        <v>No Campaign</v>
      </c>
      <c r="V296" s="7">
        <f t="shared" si="15"/>
        <v>5029</v>
      </c>
    </row>
    <row r="297" spans="1:22" ht="16.5" customHeight="1" x14ac:dyDescent="0.3">
      <c r="A297" s="32" t="s">
        <v>627</v>
      </c>
      <c r="B297" s="32" t="s">
        <v>3</v>
      </c>
      <c r="C297" s="5" t="s">
        <v>96</v>
      </c>
      <c r="D297" s="32" t="s">
        <v>26</v>
      </c>
      <c r="E297" s="32" t="s">
        <v>186</v>
      </c>
      <c r="F297" s="6">
        <v>1878</v>
      </c>
      <c r="G297" s="6">
        <v>62</v>
      </c>
      <c r="H297" s="6">
        <v>179</v>
      </c>
      <c r="I297" s="6">
        <v>37560</v>
      </c>
      <c r="J297" s="6">
        <v>36874</v>
      </c>
      <c r="K297" s="6">
        <v>142</v>
      </c>
      <c r="L297" s="32" t="s">
        <v>39</v>
      </c>
      <c r="O297" s="32" t="s">
        <v>70</v>
      </c>
      <c r="P297" s="24">
        <f t="shared" si="13"/>
        <v>5.6416400425985093E-2</v>
      </c>
      <c r="S297" s="16" t="str">
        <f>IFERROR(_xlfn.XLOOKUP(O297,'Campaign Metadata'!$A$2:$A$5,'Campaign Metadata'!$B$2:$B$5),"")</f>
        <v>2025-03-01</v>
      </c>
      <c r="T297" s="16" t="str">
        <f>IFERROR(_xlfn.XLOOKUP(O297,'Campaign Metadata'!$A$2:$A$5,'Campaign Metadata'!$C$2:$C$5),"")</f>
        <v>2025-03-31</v>
      </c>
      <c r="U297" s="27" t="str">
        <f t="shared" si="14"/>
        <v>Before</v>
      </c>
      <c r="V297" s="7">
        <f t="shared" si="15"/>
        <v>2119</v>
      </c>
    </row>
    <row r="298" spans="1:22" ht="16.5" customHeight="1" x14ac:dyDescent="0.3">
      <c r="A298" s="32" t="s">
        <v>628</v>
      </c>
      <c r="B298" s="32" t="s">
        <v>5</v>
      </c>
      <c r="C298" s="5" t="s">
        <v>595</v>
      </c>
      <c r="D298" s="32" t="s">
        <v>30</v>
      </c>
      <c r="E298" s="32" t="s">
        <v>217</v>
      </c>
      <c r="F298" s="6">
        <v>1963</v>
      </c>
      <c r="G298" s="6">
        <v>213</v>
      </c>
      <c r="H298" s="6">
        <v>19</v>
      </c>
      <c r="I298" s="6">
        <v>39260</v>
      </c>
      <c r="J298" s="6">
        <v>38771</v>
      </c>
      <c r="K298" s="6">
        <v>145</v>
      </c>
      <c r="L298" s="32" t="s">
        <v>37</v>
      </c>
      <c r="P298" s="24">
        <f t="shared" si="13"/>
        <v>5.5909322465613857E-2</v>
      </c>
      <c r="S298" s="16" t="str">
        <f>IFERROR(_xlfn.XLOOKUP(O298,'Campaign Metadata'!$A$2:$A$5,'Campaign Metadata'!$B$2:$B$5),"")</f>
        <v/>
      </c>
      <c r="T298" s="16" t="str">
        <f>IFERROR(_xlfn.XLOOKUP(O298,'Campaign Metadata'!$A$2:$A$5,'Campaign Metadata'!$C$2:$C$5),"")</f>
        <v/>
      </c>
      <c r="U298" s="27" t="str">
        <f t="shared" si="14"/>
        <v>No Campaign</v>
      </c>
      <c r="V298" s="7">
        <f t="shared" si="15"/>
        <v>2195</v>
      </c>
    </row>
    <row r="299" spans="1:22" ht="16.5" customHeight="1" x14ac:dyDescent="0.3">
      <c r="A299" s="32" t="s">
        <v>629</v>
      </c>
      <c r="B299" s="32" t="s">
        <v>5</v>
      </c>
      <c r="C299" s="5" t="s">
        <v>136</v>
      </c>
      <c r="D299" s="32" t="s">
        <v>28</v>
      </c>
      <c r="E299" s="32" t="s">
        <v>237</v>
      </c>
      <c r="F299" s="6">
        <v>2795</v>
      </c>
      <c r="G299" s="6">
        <v>105</v>
      </c>
      <c r="H299" s="6">
        <v>49</v>
      </c>
      <c r="I299" s="6">
        <v>53105</v>
      </c>
      <c r="J299" s="6">
        <v>52307</v>
      </c>
      <c r="K299" s="6">
        <v>204</v>
      </c>
      <c r="L299" s="32" t="s">
        <v>39</v>
      </c>
      <c r="O299" s="32" t="s">
        <v>68</v>
      </c>
      <c r="P299" s="24">
        <f t="shared" si="13"/>
        <v>5.5531494209584788E-2</v>
      </c>
      <c r="S299" s="16" t="str">
        <f>IFERROR(_xlfn.XLOOKUP(O299,'Campaign Metadata'!$A$2:$A$5,'Campaign Metadata'!$B$2:$B$5),"")</f>
        <v>2024-12-25</v>
      </c>
      <c r="T299" s="16" t="str">
        <f>IFERROR(_xlfn.XLOOKUP(O299,'Campaign Metadata'!$A$2:$A$5,'Campaign Metadata'!$C$2:$C$5),"")</f>
        <v>2025-01-10</v>
      </c>
      <c r="U299" s="27" t="str">
        <f t="shared" si="14"/>
        <v>Before</v>
      </c>
      <c r="V299" s="7">
        <f t="shared" si="15"/>
        <v>2949</v>
      </c>
    </row>
    <row r="300" spans="1:22" ht="16.5" customHeight="1" x14ac:dyDescent="0.3">
      <c r="A300" s="32" t="s">
        <v>630</v>
      </c>
      <c r="B300" s="32" t="s">
        <v>2</v>
      </c>
      <c r="C300" s="5" t="s">
        <v>626</v>
      </c>
      <c r="D300" s="32" t="s">
        <v>31</v>
      </c>
      <c r="E300" s="32" t="s">
        <v>171</v>
      </c>
      <c r="F300" s="6">
        <v>3798</v>
      </c>
      <c r="G300" s="6">
        <v>31</v>
      </c>
      <c r="H300" s="6">
        <v>279</v>
      </c>
      <c r="I300" s="6">
        <v>75960</v>
      </c>
      <c r="J300" s="6">
        <v>75813</v>
      </c>
      <c r="K300" s="6">
        <v>266</v>
      </c>
      <c r="L300" s="32" t="s">
        <v>39</v>
      </c>
      <c r="O300" s="32" t="s">
        <v>67</v>
      </c>
      <c r="P300" s="24">
        <f t="shared" si="13"/>
        <v>5.4081095313322801E-2</v>
      </c>
      <c r="S300" s="16" t="str">
        <f>IFERROR(_xlfn.XLOOKUP(O300,'Campaign Metadata'!$A$2:$A$5,'Campaign Metadata'!$B$2:$B$5),"")</f>
        <v>2024-06-15</v>
      </c>
      <c r="T300" s="16" t="str">
        <f>IFERROR(_xlfn.XLOOKUP(O300,'Campaign Metadata'!$A$2:$A$5,'Campaign Metadata'!$C$2:$C$5),"")</f>
        <v>2024-07-15</v>
      </c>
      <c r="U300" s="27" t="str">
        <f t="shared" si="14"/>
        <v>During</v>
      </c>
      <c r="V300" s="7">
        <f t="shared" si="15"/>
        <v>4108</v>
      </c>
    </row>
    <row r="301" spans="1:22" ht="16.5" customHeight="1" x14ac:dyDescent="0.3">
      <c r="A301" s="32" t="s">
        <v>631</v>
      </c>
      <c r="B301" s="32" t="s">
        <v>4</v>
      </c>
      <c r="C301" s="5" t="s">
        <v>246</v>
      </c>
      <c r="D301" s="32" t="s">
        <v>26</v>
      </c>
      <c r="E301" s="32" t="s">
        <v>159</v>
      </c>
      <c r="F301" s="6">
        <v>4507</v>
      </c>
      <c r="G301" s="6">
        <v>217</v>
      </c>
      <c r="H301" s="6">
        <v>13</v>
      </c>
      <c r="I301" s="6">
        <v>90140</v>
      </c>
      <c r="J301" s="6">
        <v>89591</v>
      </c>
      <c r="K301" s="6">
        <v>125</v>
      </c>
      <c r="L301" s="32" t="s">
        <v>37</v>
      </c>
      <c r="O301" s="32" t="s">
        <v>68</v>
      </c>
      <c r="P301" s="24">
        <f t="shared" si="13"/>
        <v>5.2551586421122697E-2</v>
      </c>
      <c r="S301" s="16" t="str">
        <f>IFERROR(_xlfn.XLOOKUP(O301,'Campaign Metadata'!$A$2:$A$5,'Campaign Metadata'!$B$2:$B$5),"")</f>
        <v>2024-12-25</v>
      </c>
      <c r="T301" s="16" t="str">
        <f>IFERROR(_xlfn.XLOOKUP(O301,'Campaign Metadata'!$A$2:$A$5,'Campaign Metadata'!$C$2:$C$5),"")</f>
        <v>2025-01-10</v>
      </c>
      <c r="U301" s="27" t="str">
        <f t="shared" si="14"/>
        <v>Before</v>
      </c>
      <c r="V301" s="7">
        <f t="shared" si="15"/>
        <v>4737</v>
      </c>
    </row>
  </sheetData>
  <sortState xmlns:xlrd2="http://schemas.microsoft.com/office/spreadsheetml/2017/richdata2" ref="A2:P301">
    <sortCondition descending="1" ref="P2:P301"/>
  </sortState>
  <conditionalFormatting sqref="U1:U1048576">
    <cfRule type="containsText" dxfId="41" priority="1" operator="containsText" text="No Campaign">
      <formula>NOT(ISERROR(SEARCH("No Campaign",U1)))</formula>
    </cfRule>
    <cfRule type="containsText" dxfId="40" priority="2" operator="containsText" text="During">
      <formula>NOT(ISERROR(SEARCH("During",U1)))</formula>
    </cfRule>
  </conditionalFormatting>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D1" workbookViewId="0">
      <selection activeCell="I14" sqref="I14"/>
    </sheetView>
  </sheetViews>
  <sheetFormatPr defaultColWidth="19.44140625" defaultRowHeight="15" customHeight="1" x14ac:dyDescent="0.3"/>
  <cols>
    <col min="9" max="9" width="36.5546875" style="13" bestFit="1" customWidth="1"/>
  </cols>
  <sheetData>
    <row r="1" spans="1:10" ht="14.4" x14ac:dyDescent="0.3">
      <c r="A1" s="1" t="s">
        <v>85</v>
      </c>
      <c r="B1" s="1" t="s">
        <v>0</v>
      </c>
      <c r="C1" s="1" t="s">
        <v>632</v>
      </c>
      <c r="D1" s="1" t="s">
        <v>633</v>
      </c>
      <c r="E1" s="1" t="s">
        <v>634</v>
      </c>
      <c r="F1" s="1" t="s">
        <v>635</v>
      </c>
      <c r="G1" s="1" t="s">
        <v>636</v>
      </c>
      <c r="H1" s="1" t="s">
        <v>637</v>
      </c>
      <c r="I1" s="22" t="s">
        <v>71</v>
      </c>
      <c r="J1" s="22" t="s">
        <v>638</v>
      </c>
    </row>
    <row r="2" spans="1:10" ht="15.75" customHeight="1" x14ac:dyDescent="0.3">
      <c r="A2" s="10" t="s">
        <v>86</v>
      </c>
      <c r="B2" s="2" t="s">
        <v>3</v>
      </c>
      <c r="C2" s="9">
        <v>1135</v>
      </c>
      <c r="D2" s="9">
        <v>88</v>
      </c>
      <c r="E2" s="9">
        <v>344084</v>
      </c>
      <c r="F2" s="8">
        <v>8.06</v>
      </c>
      <c r="G2" s="9">
        <v>5904</v>
      </c>
      <c r="H2" s="3">
        <f>C2-D2</f>
        <v>1047</v>
      </c>
      <c r="I2" s="20" t="str">
        <f>IF(AND(A2&gt;='Campaign Metadata'!$B$2,A2&lt;='Campaign Metadata'!$C$2),"CybertruckLaunch",
IF(AND(A2&gt;='Campaign Metadata'!$B$3,A2&lt;='Campaign Metadata'!$C$3),"ModelYCampaign",
IF(AND(A2&gt;='Campaign Metadata'!$B$4,A2&lt;='Campaign Metadata'!$C$4),"FSDUpdate",
IF(AND(A2&gt;='Campaign Metadata'!$B$5,A2&lt;='Campaign Metadata'!$C$5),"SustainabilityDrive","No Campaign"))))</f>
        <v>No Campaign</v>
      </c>
      <c r="J2" s="33">
        <f>(C2-D2)/E2</f>
        <v>3.0428616268120576E-3</v>
      </c>
    </row>
    <row r="3" spans="1:10" ht="14.4" x14ac:dyDescent="0.3">
      <c r="A3" s="10" t="s">
        <v>86</v>
      </c>
      <c r="B3" s="2" t="s">
        <v>2</v>
      </c>
      <c r="C3" s="9">
        <v>1312</v>
      </c>
      <c r="D3" s="9">
        <v>310</v>
      </c>
      <c r="E3" s="9">
        <v>42654</v>
      </c>
      <c r="F3" s="8">
        <v>4.9800000000000004</v>
      </c>
      <c r="G3" s="9">
        <v>9566</v>
      </c>
      <c r="H3" s="3">
        <f t="shared" ref="H3:H66" si="0">C3-D3</f>
        <v>1002</v>
      </c>
      <c r="I3" s="20" t="str">
        <f>IF(AND(A3&gt;='Campaign Metadata'!$B$2,A3&lt;='Campaign Metadata'!$C$2),"CybertruckLaunch",
IF(AND(A3&gt;='Campaign Metadata'!$B$3,A3&lt;='Campaign Metadata'!$C$3),"ModelYCampaign",
IF(AND(A3&gt;='Campaign Metadata'!$B$4,A3&lt;='Campaign Metadata'!$C$4),"FSDUpdate",
IF(AND(A3&gt;='Campaign Metadata'!$B$5,A3&lt;='Campaign Metadata'!$C$5),"SustainabilityDrive","No Campaign"))))</f>
        <v>No Campaign</v>
      </c>
      <c r="J3" s="33">
        <f t="shared" ref="J3:J18" si="1">(C3-D3)/E3</f>
        <v>2.3491348994232664E-2</v>
      </c>
    </row>
    <row r="4" spans="1:10" ht="14.4" x14ac:dyDescent="0.3">
      <c r="A4" s="10" t="s">
        <v>86</v>
      </c>
      <c r="B4" s="2" t="s">
        <v>4</v>
      </c>
      <c r="C4" s="9">
        <v>584</v>
      </c>
      <c r="D4" s="9">
        <v>169</v>
      </c>
      <c r="E4" s="9">
        <v>146834</v>
      </c>
      <c r="F4" s="8">
        <v>8.31</v>
      </c>
      <c r="G4" s="9">
        <v>26752</v>
      </c>
      <c r="H4" s="3">
        <f t="shared" si="0"/>
        <v>415</v>
      </c>
      <c r="I4" s="20" t="str">
        <f>IF(AND(A4&gt;='Campaign Metadata'!$B$2,A4&lt;='Campaign Metadata'!$C$2),"CybertruckLaunch",
IF(AND(A4&gt;='Campaign Metadata'!$B$3,A4&lt;='Campaign Metadata'!$C$3),"ModelYCampaign",
IF(AND(A4&gt;='Campaign Metadata'!$B$4,A4&lt;='Campaign Metadata'!$C$4),"FSDUpdate",
IF(AND(A4&gt;='Campaign Metadata'!$B$5,A4&lt;='Campaign Metadata'!$C$5),"SustainabilityDrive","No Campaign"))))</f>
        <v>No Campaign</v>
      </c>
      <c r="J4" s="33">
        <f t="shared" si="1"/>
        <v>2.826320879360366E-3</v>
      </c>
    </row>
    <row r="5" spans="1:10" ht="14.4" x14ac:dyDescent="0.3">
      <c r="A5" s="10" t="s">
        <v>86</v>
      </c>
      <c r="B5" s="2" t="s">
        <v>5</v>
      </c>
      <c r="C5" s="9">
        <v>1535</v>
      </c>
      <c r="D5" s="9">
        <v>445</v>
      </c>
      <c r="E5" s="9">
        <v>395536</v>
      </c>
      <c r="F5" s="8">
        <v>4.1100000000000003</v>
      </c>
      <c r="G5" s="9">
        <v>30671</v>
      </c>
      <c r="H5" s="3">
        <f t="shared" si="0"/>
        <v>1090</v>
      </c>
      <c r="I5" s="20" t="str">
        <f>IF(AND(A5&gt;='Campaign Metadata'!$B$2,A5&lt;='Campaign Metadata'!$C$2),"CybertruckLaunch",
IF(AND(A5&gt;='Campaign Metadata'!$B$3,A5&lt;='Campaign Metadata'!$C$3),"ModelYCampaign",
IF(AND(A5&gt;='Campaign Metadata'!$B$4,A5&lt;='Campaign Metadata'!$C$4),"FSDUpdate",
IF(AND(A5&gt;='Campaign Metadata'!$B$5,A5&lt;='Campaign Metadata'!$C$5),"SustainabilityDrive","No Campaign"))))</f>
        <v>No Campaign</v>
      </c>
      <c r="J5" s="33">
        <f t="shared" si="1"/>
        <v>2.7557542170624167E-3</v>
      </c>
    </row>
    <row r="6" spans="1:10" ht="14.4" x14ac:dyDescent="0.3">
      <c r="A6" s="10" t="s">
        <v>87</v>
      </c>
      <c r="B6" s="2" t="s">
        <v>3</v>
      </c>
      <c r="C6" s="9">
        <v>656</v>
      </c>
      <c r="D6" s="9">
        <v>139</v>
      </c>
      <c r="E6" s="9">
        <v>49157</v>
      </c>
      <c r="F6" s="8">
        <v>9.0500000000000007</v>
      </c>
      <c r="G6" s="9">
        <v>9920</v>
      </c>
      <c r="H6" s="3">
        <f t="shared" si="0"/>
        <v>517</v>
      </c>
      <c r="I6" s="20" t="str">
        <f>IF(AND(A6&gt;='Campaign Metadata'!$B$2,A6&lt;='Campaign Metadata'!$C$2),"CybertruckLaunch",
IF(AND(A6&gt;='Campaign Metadata'!$B$3,A6&lt;='Campaign Metadata'!$C$3),"ModelYCampaign",
IF(AND(A6&gt;='Campaign Metadata'!$B$4,A6&lt;='Campaign Metadata'!$C$4),"FSDUpdate",
IF(AND(A6&gt;='Campaign Metadata'!$B$5,A6&lt;='Campaign Metadata'!$C$5),"SustainabilityDrive","No Campaign"))))</f>
        <v>No Campaign</v>
      </c>
      <c r="J6" s="33">
        <f t="shared" si="1"/>
        <v>1.0517322049758936E-2</v>
      </c>
    </row>
    <row r="7" spans="1:10" ht="14.4" x14ac:dyDescent="0.3">
      <c r="A7" s="10" t="s">
        <v>87</v>
      </c>
      <c r="B7" s="2" t="s">
        <v>2</v>
      </c>
      <c r="C7" s="9">
        <v>1697</v>
      </c>
      <c r="D7" s="9">
        <v>414</v>
      </c>
      <c r="E7" s="9">
        <v>316555</v>
      </c>
      <c r="F7" s="8">
        <v>2.37</v>
      </c>
      <c r="G7" s="9">
        <v>7924</v>
      </c>
      <c r="H7" s="3">
        <f t="shared" si="0"/>
        <v>1283</v>
      </c>
      <c r="I7" s="20" t="str">
        <f>IF(AND(A7&gt;='Campaign Metadata'!$B$2,A7&lt;='Campaign Metadata'!$C$2),"CybertruckLaunch",
IF(AND(A7&gt;='Campaign Metadata'!$B$3,A7&lt;='Campaign Metadata'!$C$3),"ModelYCampaign",
IF(AND(A7&gt;='Campaign Metadata'!$B$4,A7&lt;='Campaign Metadata'!$C$4),"FSDUpdate",
IF(AND(A7&gt;='Campaign Metadata'!$B$5,A7&lt;='Campaign Metadata'!$C$5),"SustainabilityDrive","No Campaign"))))</f>
        <v>No Campaign</v>
      </c>
      <c r="J7" s="33">
        <f t="shared" si="1"/>
        <v>4.0530081660374974E-3</v>
      </c>
    </row>
    <row r="8" spans="1:10" ht="14.4" x14ac:dyDescent="0.3">
      <c r="A8" s="10" t="s">
        <v>87</v>
      </c>
      <c r="B8" s="2" t="s">
        <v>4</v>
      </c>
      <c r="C8" s="9">
        <v>436</v>
      </c>
      <c r="D8" s="9">
        <v>250</v>
      </c>
      <c r="E8" s="9">
        <v>254347</v>
      </c>
      <c r="F8" s="8">
        <v>4.01</v>
      </c>
      <c r="G8" s="9">
        <v>8912</v>
      </c>
      <c r="H8" s="3">
        <f t="shared" si="0"/>
        <v>186</v>
      </c>
      <c r="I8" s="20" t="str">
        <f>IF(AND(A8&gt;='Campaign Metadata'!$B$2,A8&lt;='Campaign Metadata'!$C$2),"CybertruckLaunch",
IF(AND(A8&gt;='Campaign Metadata'!$B$3,A8&lt;='Campaign Metadata'!$C$3),"ModelYCampaign",
IF(AND(A8&gt;='Campaign Metadata'!$B$4,A8&lt;='Campaign Metadata'!$C$4),"FSDUpdate",
IF(AND(A8&gt;='Campaign Metadata'!$B$5,A8&lt;='Campaign Metadata'!$C$5),"SustainabilityDrive","No Campaign"))))</f>
        <v>No Campaign</v>
      </c>
      <c r="J8" s="33">
        <f t="shared" si="1"/>
        <v>7.3128442639386348E-4</v>
      </c>
    </row>
    <row r="9" spans="1:10" ht="14.4" x14ac:dyDescent="0.3">
      <c r="A9" s="10" t="s">
        <v>87</v>
      </c>
      <c r="B9" s="2" t="s">
        <v>5</v>
      </c>
      <c r="C9" s="9">
        <v>1197</v>
      </c>
      <c r="D9" s="9">
        <v>203</v>
      </c>
      <c r="E9" s="9">
        <v>413878</v>
      </c>
      <c r="F9" s="8">
        <v>3.16</v>
      </c>
      <c r="G9" s="9">
        <v>21205</v>
      </c>
      <c r="H9" s="3">
        <f t="shared" si="0"/>
        <v>994</v>
      </c>
      <c r="I9" s="20" t="str">
        <f>IF(AND(A9&gt;='Campaign Metadata'!$B$2,A9&lt;='Campaign Metadata'!$C$2),"CybertruckLaunch",
IF(AND(A9&gt;='Campaign Metadata'!$B$3,A9&lt;='Campaign Metadata'!$C$3),"ModelYCampaign",
IF(AND(A9&gt;='Campaign Metadata'!$B$4,A9&lt;='Campaign Metadata'!$C$4),"FSDUpdate",
IF(AND(A9&gt;='Campaign Metadata'!$B$5,A9&lt;='Campaign Metadata'!$C$5),"SustainabilityDrive","No Campaign"))))</f>
        <v>No Campaign</v>
      </c>
      <c r="J9" s="33">
        <f t="shared" si="1"/>
        <v>2.4016739232334168E-3</v>
      </c>
    </row>
    <row r="10" spans="1:10" ht="14.4" x14ac:dyDescent="0.3">
      <c r="A10" s="10" t="s">
        <v>88</v>
      </c>
      <c r="B10" s="2" t="s">
        <v>3</v>
      </c>
      <c r="C10" s="9">
        <v>1048</v>
      </c>
      <c r="D10" s="9">
        <v>155</v>
      </c>
      <c r="E10" s="9">
        <v>456946</v>
      </c>
      <c r="F10" s="8">
        <v>2.46</v>
      </c>
      <c r="G10" s="9">
        <v>11329</v>
      </c>
      <c r="H10" s="3">
        <f t="shared" si="0"/>
        <v>893</v>
      </c>
      <c r="I10" s="20" t="str">
        <f>IF(AND(A10&gt;='Campaign Metadata'!$B$2,A10&lt;='Campaign Metadata'!$C$2),"CybertruckLaunch",
IF(AND(A10&gt;='Campaign Metadata'!$B$3,A10&lt;='Campaign Metadata'!$C$3),"ModelYCampaign",
IF(AND(A10&gt;='Campaign Metadata'!$B$4,A10&lt;='Campaign Metadata'!$C$4),"FSDUpdate",
IF(AND(A10&gt;='Campaign Metadata'!$B$5,A10&lt;='Campaign Metadata'!$C$5),"SustainabilityDrive","No Campaign"))))</f>
        <v>CybertruckLaunch</v>
      </c>
      <c r="J10" s="33">
        <f t="shared" si="1"/>
        <v>1.9542790614208243E-3</v>
      </c>
    </row>
    <row r="11" spans="1:10" ht="14.4" x14ac:dyDescent="0.3">
      <c r="A11" s="10" t="s">
        <v>88</v>
      </c>
      <c r="B11" s="2" t="s">
        <v>2</v>
      </c>
      <c r="C11" s="9">
        <v>1753</v>
      </c>
      <c r="D11" s="9">
        <v>371</v>
      </c>
      <c r="E11" s="9">
        <v>169496</v>
      </c>
      <c r="F11" s="8">
        <v>8.11</v>
      </c>
      <c r="G11" s="9">
        <v>46670</v>
      </c>
      <c r="H11" s="3">
        <f t="shared" si="0"/>
        <v>1382</v>
      </c>
      <c r="I11" s="20" t="str">
        <f>IF(AND(A11&gt;='Campaign Metadata'!$B$2,A11&lt;='Campaign Metadata'!$C$2),"CybertruckLaunch",
IF(AND(A11&gt;='Campaign Metadata'!$B$3,A11&lt;='Campaign Metadata'!$C$3),"ModelYCampaign",
IF(AND(A11&gt;='Campaign Metadata'!$B$4,A11&lt;='Campaign Metadata'!$C$4),"FSDUpdate",
IF(AND(A11&gt;='Campaign Metadata'!$B$5,A11&lt;='Campaign Metadata'!$C$5),"SustainabilityDrive","No Campaign"))))</f>
        <v>CybertruckLaunch</v>
      </c>
      <c r="J11" s="33">
        <f t="shared" si="1"/>
        <v>8.1535847453627231E-3</v>
      </c>
    </row>
    <row r="12" spans="1:10" ht="14.4" x14ac:dyDescent="0.3">
      <c r="A12" s="10" t="s">
        <v>88</v>
      </c>
      <c r="B12" s="2" t="s">
        <v>4</v>
      </c>
      <c r="C12" s="9">
        <v>1335</v>
      </c>
      <c r="D12" s="9">
        <v>40</v>
      </c>
      <c r="E12" s="9">
        <v>122732</v>
      </c>
      <c r="F12" s="8">
        <v>8.19</v>
      </c>
      <c r="G12" s="9">
        <v>22482</v>
      </c>
      <c r="H12" s="3">
        <f t="shared" si="0"/>
        <v>1295</v>
      </c>
      <c r="I12" s="20" t="str">
        <f>IF(AND(A12&gt;='Campaign Metadata'!$B$2,A12&lt;='Campaign Metadata'!$C$2),"CybertruckLaunch",
IF(AND(A12&gt;='Campaign Metadata'!$B$3,A12&lt;='Campaign Metadata'!$C$3),"ModelYCampaign",
IF(AND(A12&gt;='Campaign Metadata'!$B$4,A12&lt;='Campaign Metadata'!$C$4),"FSDUpdate",
IF(AND(A12&gt;='Campaign Metadata'!$B$5,A12&lt;='Campaign Metadata'!$C$5),"SustainabilityDrive","No Campaign"))))</f>
        <v>CybertruckLaunch</v>
      </c>
      <c r="J12" s="33">
        <f t="shared" si="1"/>
        <v>1.0551445425805821E-2</v>
      </c>
    </row>
    <row r="13" spans="1:10" ht="14.4" x14ac:dyDescent="0.3">
      <c r="A13" s="10" t="s">
        <v>88</v>
      </c>
      <c r="B13" s="2" t="s">
        <v>5</v>
      </c>
      <c r="C13" s="9">
        <v>403</v>
      </c>
      <c r="D13" s="9">
        <v>66</v>
      </c>
      <c r="E13" s="9">
        <v>382851</v>
      </c>
      <c r="F13" s="8">
        <v>3.49</v>
      </c>
      <c r="G13" s="9">
        <v>24313</v>
      </c>
      <c r="H13" s="3">
        <f t="shared" si="0"/>
        <v>337</v>
      </c>
      <c r="I13" s="20" t="str">
        <f>IF(AND(A13&gt;='Campaign Metadata'!$B$2,A13&lt;='Campaign Metadata'!$C$2),"CybertruckLaunch",
IF(AND(A13&gt;='Campaign Metadata'!$B$3,A13&lt;='Campaign Metadata'!$C$3),"ModelYCampaign",
IF(AND(A13&gt;='Campaign Metadata'!$B$4,A13&lt;='Campaign Metadata'!$C$4),"FSDUpdate",
IF(AND(A13&gt;='Campaign Metadata'!$B$5,A13&lt;='Campaign Metadata'!$C$5),"SustainabilityDrive","No Campaign"))))</f>
        <v>CybertruckLaunch</v>
      </c>
      <c r="J13" s="33">
        <f t="shared" si="1"/>
        <v>8.80238003818718E-4</v>
      </c>
    </row>
    <row r="14" spans="1:10" ht="14.4" x14ac:dyDescent="0.3">
      <c r="A14" s="10" t="s">
        <v>89</v>
      </c>
      <c r="B14" s="2" t="s">
        <v>3</v>
      </c>
      <c r="C14" s="9">
        <v>911</v>
      </c>
      <c r="D14" s="9">
        <v>282</v>
      </c>
      <c r="E14" s="9">
        <v>35664</v>
      </c>
      <c r="F14" s="8">
        <v>6.92</v>
      </c>
      <c r="G14" s="9">
        <v>18050</v>
      </c>
      <c r="H14" s="3">
        <f t="shared" si="0"/>
        <v>629</v>
      </c>
      <c r="I14" s="20" t="str">
        <f>IF(AND(A14&gt;='Campaign Metadata'!$B$2,A14&lt;='Campaign Metadata'!$C$2),"CybertruckLaunch",
IF(AND(A14&gt;='Campaign Metadata'!$B$3,A14&lt;='Campaign Metadata'!$C$3),"ModelYCampaign",
IF(AND(A14&gt;='Campaign Metadata'!$B$4,A14&lt;='Campaign Metadata'!$C$4),"FSDUpdate",
IF(AND(A14&gt;='Campaign Metadata'!$B$5,A14&lt;='Campaign Metadata'!$C$5),"SustainabilityDrive","No Campaign"))))</f>
        <v>CybertruckLaunch</v>
      </c>
      <c r="J14" s="33">
        <f t="shared" si="1"/>
        <v>1.7636832660385824E-2</v>
      </c>
    </row>
    <row r="15" spans="1:10" ht="14.4" x14ac:dyDescent="0.3">
      <c r="A15" s="10" t="s">
        <v>89</v>
      </c>
      <c r="B15" s="2" t="s">
        <v>2</v>
      </c>
      <c r="C15" s="9">
        <v>1779</v>
      </c>
      <c r="D15" s="9">
        <v>109</v>
      </c>
      <c r="E15" s="9">
        <v>26295</v>
      </c>
      <c r="F15" s="8">
        <v>9.1199999999999992</v>
      </c>
      <c r="G15" s="9">
        <v>30635</v>
      </c>
      <c r="H15" s="3">
        <f t="shared" si="0"/>
        <v>1670</v>
      </c>
      <c r="I15" s="20" t="str">
        <f>IF(AND(A15&gt;='Campaign Metadata'!$B$2,A15&lt;='Campaign Metadata'!$C$2),"CybertruckLaunch",
IF(AND(A15&gt;='Campaign Metadata'!$B$3,A15&lt;='Campaign Metadata'!$C$3),"ModelYCampaign",
IF(AND(A15&gt;='Campaign Metadata'!$B$4,A15&lt;='Campaign Metadata'!$C$4),"FSDUpdate",
IF(AND(A15&gt;='Campaign Metadata'!$B$5,A15&lt;='Campaign Metadata'!$C$5),"SustainabilityDrive","No Campaign"))))</f>
        <v>CybertruckLaunch</v>
      </c>
      <c r="J15" s="33">
        <f t="shared" si="1"/>
        <v>6.3510173036698994E-2</v>
      </c>
    </row>
    <row r="16" spans="1:10" ht="14.4" x14ac:dyDescent="0.3">
      <c r="A16" s="10" t="s">
        <v>89</v>
      </c>
      <c r="B16" s="2" t="s">
        <v>4</v>
      </c>
      <c r="C16" s="9">
        <v>1238</v>
      </c>
      <c r="D16" s="9">
        <v>403</v>
      </c>
      <c r="E16" s="9">
        <v>298421</v>
      </c>
      <c r="F16" s="8">
        <v>3.5</v>
      </c>
      <c r="G16" s="9">
        <v>31280</v>
      </c>
      <c r="H16" s="3">
        <f t="shared" si="0"/>
        <v>835</v>
      </c>
      <c r="I16" s="20" t="str">
        <f>IF(AND(A16&gt;='Campaign Metadata'!$B$2,A16&lt;='Campaign Metadata'!$C$2),"CybertruckLaunch",
IF(AND(A16&gt;='Campaign Metadata'!$B$3,A16&lt;='Campaign Metadata'!$C$3),"ModelYCampaign",
IF(AND(A16&gt;='Campaign Metadata'!$B$4,A16&lt;='Campaign Metadata'!$C$4),"FSDUpdate",
IF(AND(A16&gt;='Campaign Metadata'!$B$5,A16&lt;='Campaign Metadata'!$C$5),"SustainabilityDrive","No Campaign"))))</f>
        <v>CybertruckLaunch</v>
      </c>
      <c r="J16" s="33">
        <f t="shared" si="1"/>
        <v>2.798060458211721E-3</v>
      </c>
    </row>
    <row r="17" spans="1:10" ht="14.4" x14ac:dyDescent="0.3">
      <c r="A17" s="10" t="s">
        <v>89</v>
      </c>
      <c r="B17" s="2" t="s">
        <v>5</v>
      </c>
      <c r="C17" s="9">
        <v>308</v>
      </c>
      <c r="D17" s="9">
        <v>431</v>
      </c>
      <c r="E17" s="9">
        <v>426184</v>
      </c>
      <c r="F17" s="8">
        <v>2.62</v>
      </c>
      <c r="G17" s="9">
        <v>1783</v>
      </c>
      <c r="H17" s="3">
        <f t="shared" si="0"/>
        <v>-123</v>
      </c>
      <c r="I17" s="20" t="str">
        <f>IF(AND(A17&gt;='Campaign Metadata'!$B$2,A17&lt;='Campaign Metadata'!$C$2),"CybertruckLaunch",
IF(AND(A17&gt;='Campaign Metadata'!$B$3,A17&lt;='Campaign Metadata'!$C$3),"ModelYCampaign",
IF(AND(A17&gt;='Campaign Metadata'!$B$4,A17&lt;='Campaign Metadata'!$C$4),"FSDUpdate",
IF(AND(A17&gt;='Campaign Metadata'!$B$5,A17&lt;='Campaign Metadata'!$C$5),"SustainabilityDrive","No Campaign"))))</f>
        <v>CybertruckLaunch</v>
      </c>
      <c r="J17" s="33">
        <f t="shared" si="1"/>
        <v>-2.8860773750305035E-4</v>
      </c>
    </row>
    <row r="18" spans="1:10" ht="14.4" x14ac:dyDescent="0.3">
      <c r="A18" s="10" t="s">
        <v>90</v>
      </c>
      <c r="B18" s="2" t="s">
        <v>3</v>
      </c>
      <c r="C18" s="9">
        <v>226</v>
      </c>
      <c r="D18" s="9">
        <v>445</v>
      </c>
      <c r="E18" s="9">
        <v>419447</v>
      </c>
      <c r="F18" s="8">
        <v>9.36</v>
      </c>
      <c r="G18" s="9">
        <v>9566</v>
      </c>
      <c r="H18" s="3">
        <f t="shared" si="0"/>
        <v>-219</v>
      </c>
      <c r="I18" s="20" t="str">
        <f>IF(AND(A18&gt;='Campaign Metadata'!$B$2,A18&lt;='Campaign Metadata'!$C$2),"CybertruckLaunch",
IF(AND(A18&gt;='Campaign Metadata'!$B$3,A18&lt;='Campaign Metadata'!$C$3),"ModelYCampaign",
IF(AND(A18&gt;='Campaign Metadata'!$B$4,A18&lt;='Campaign Metadata'!$C$4),"FSDUpdate",
IF(AND(A18&gt;='Campaign Metadata'!$B$5,A18&lt;='Campaign Metadata'!$C$5),"SustainabilityDrive","No Campaign"))))</f>
        <v>CybertruckLaunch</v>
      </c>
      <c r="J18" s="33">
        <f t="shared" si="1"/>
        <v>-5.2211602419375983E-4</v>
      </c>
    </row>
    <row r="19" spans="1:10" ht="14.4" x14ac:dyDescent="0.3">
      <c r="A19" s="10" t="s">
        <v>90</v>
      </c>
      <c r="B19" s="2" t="s">
        <v>2</v>
      </c>
      <c r="C19" s="9">
        <v>505</v>
      </c>
      <c r="D19" s="9">
        <v>441</v>
      </c>
      <c r="E19" s="9">
        <v>220020</v>
      </c>
      <c r="F19" s="8">
        <v>4.4800000000000004</v>
      </c>
      <c r="G19" s="9">
        <v>42307</v>
      </c>
      <c r="H19" s="3">
        <f t="shared" si="0"/>
        <v>64</v>
      </c>
      <c r="I19" s="20" t="str">
        <f>IF(AND(A19&gt;='Campaign Metadata'!$B$2,A19&lt;='Campaign Metadata'!$C$2),"CybertruckLaunch",
IF(AND(A19&gt;='Campaign Metadata'!$B$3,A19&lt;='Campaign Metadata'!$C$3),"ModelYCampaign",
IF(AND(A19&gt;='Campaign Metadata'!$B$4,A19&lt;='Campaign Metadata'!$C$4),"FSDUpdate",
IF(AND(A19&gt;='Campaign Metadata'!$B$5,A19&lt;='Campaign Metadata'!$C$5),"SustainabilityDrive","No Campaign"))))</f>
        <v>CybertruckLaunch</v>
      </c>
      <c r="J19" s="33">
        <f t="shared" ref="J19:J82" si="2">(C19-D19)/E19</f>
        <v>2.9088264703208797E-4</v>
      </c>
    </row>
    <row r="20" spans="1:10" ht="14.4" x14ac:dyDescent="0.3">
      <c r="A20" s="10" t="s">
        <v>90</v>
      </c>
      <c r="B20" s="2" t="s">
        <v>4</v>
      </c>
      <c r="C20" s="9">
        <v>1420</v>
      </c>
      <c r="D20" s="9">
        <v>63</v>
      </c>
      <c r="E20" s="9">
        <v>315305</v>
      </c>
      <c r="F20" s="8">
        <v>6.19</v>
      </c>
      <c r="G20" s="9">
        <v>5914</v>
      </c>
      <c r="H20" s="3">
        <f t="shared" si="0"/>
        <v>1357</v>
      </c>
      <c r="I20" s="20" t="str">
        <f>IF(AND(A20&gt;='Campaign Metadata'!$B$2,A20&lt;='Campaign Metadata'!$C$2),"CybertruckLaunch",
IF(AND(A20&gt;='Campaign Metadata'!$B$3,A20&lt;='Campaign Metadata'!$C$3),"ModelYCampaign",
IF(AND(A20&gt;='Campaign Metadata'!$B$4,A20&lt;='Campaign Metadata'!$C$4),"FSDUpdate",
IF(AND(A20&gt;='Campaign Metadata'!$B$5,A20&lt;='Campaign Metadata'!$C$5),"SustainabilityDrive","No Campaign"))))</f>
        <v>CybertruckLaunch</v>
      </c>
      <c r="J20" s="33">
        <f t="shared" si="2"/>
        <v>4.3037693661692649E-3</v>
      </c>
    </row>
    <row r="21" spans="1:10" ht="15.75" customHeight="1" x14ac:dyDescent="0.3">
      <c r="A21" s="10" t="s">
        <v>90</v>
      </c>
      <c r="B21" s="2" t="s">
        <v>5</v>
      </c>
      <c r="C21" s="9">
        <v>144</v>
      </c>
      <c r="D21" s="9">
        <v>53</v>
      </c>
      <c r="E21" s="9">
        <v>113678</v>
      </c>
      <c r="F21" s="8">
        <v>8.7200000000000006</v>
      </c>
      <c r="G21" s="9">
        <v>30060</v>
      </c>
      <c r="H21" s="3">
        <f t="shared" si="0"/>
        <v>91</v>
      </c>
      <c r="I21" s="20" t="str">
        <f>IF(AND(A21&gt;='Campaign Metadata'!$B$2,A21&lt;='Campaign Metadata'!$C$2),"CybertruckLaunch",
IF(AND(A21&gt;='Campaign Metadata'!$B$3,A21&lt;='Campaign Metadata'!$C$3),"ModelYCampaign",
IF(AND(A21&gt;='Campaign Metadata'!$B$4,A21&lt;='Campaign Metadata'!$C$4),"FSDUpdate",
IF(AND(A21&gt;='Campaign Metadata'!$B$5,A21&lt;='Campaign Metadata'!$C$5),"SustainabilityDrive","No Campaign"))))</f>
        <v>CybertruckLaunch</v>
      </c>
      <c r="J21" s="33">
        <f t="shared" si="2"/>
        <v>8.0050669434719116E-4</v>
      </c>
    </row>
    <row r="22" spans="1:10" ht="15.75" customHeight="1" x14ac:dyDescent="0.3">
      <c r="A22" s="10" t="s">
        <v>91</v>
      </c>
      <c r="B22" s="2" t="s">
        <v>3</v>
      </c>
      <c r="C22" s="9">
        <v>1757</v>
      </c>
      <c r="D22" s="9">
        <v>85</v>
      </c>
      <c r="E22" s="9">
        <v>58223</v>
      </c>
      <c r="F22" s="8">
        <v>8.74</v>
      </c>
      <c r="G22" s="9">
        <v>22728</v>
      </c>
      <c r="H22" s="3">
        <f t="shared" si="0"/>
        <v>1672</v>
      </c>
      <c r="I22" s="20" t="str">
        <f>IF(AND(A22&gt;='Campaign Metadata'!$B$2,A22&lt;='Campaign Metadata'!$C$2),"CybertruckLaunch",
IF(AND(A22&gt;='Campaign Metadata'!$B$3,A22&lt;='Campaign Metadata'!$C$3),"ModelYCampaign",
IF(AND(A22&gt;='Campaign Metadata'!$B$4,A22&lt;='Campaign Metadata'!$C$4),"FSDUpdate",
IF(AND(A22&gt;='Campaign Metadata'!$B$5,A22&lt;='Campaign Metadata'!$C$5),"SustainabilityDrive","No Campaign"))))</f>
        <v>CybertruckLaunch</v>
      </c>
      <c r="J22" s="33">
        <f t="shared" si="2"/>
        <v>2.8717173625543171E-2</v>
      </c>
    </row>
    <row r="23" spans="1:10" ht="15.75" customHeight="1" x14ac:dyDescent="0.3">
      <c r="A23" s="10" t="s">
        <v>91</v>
      </c>
      <c r="B23" s="2" t="s">
        <v>2</v>
      </c>
      <c r="C23" s="9">
        <v>350</v>
      </c>
      <c r="D23" s="9">
        <v>41</v>
      </c>
      <c r="E23" s="9">
        <v>251694</v>
      </c>
      <c r="F23" s="8">
        <v>1.91</v>
      </c>
      <c r="G23" s="9">
        <v>38610</v>
      </c>
      <c r="H23" s="3">
        <f t="shared" si="0"/>
        <v>309</v>
      </c>
      <c r="I23" s="20" t="str">
        <f>IF(AND(A23&gt;='Campaign Metadata'!$B$2,A23&lt;='Campaign Metadata'!$C$2),"CybertruckLaunch",
IF(AND(A23&gt;='Campaign Metadata'!$B$3,A23&lt;='Campaign Metadata'!$C$3),"ModelYCampaign",
IF(AND(A23&gt;='Campaign Metadata'!$B$4,A23&lt;='Campaign Metadata'!$C$4),"FSDUpdate",
IF(AND(A23&gt;='Campaign Metadata'!$B$5,A23&lt;='Campaign Metadata'!$C$5),"SustainabilityDrive","No Campaign"))))</f>
        <v>CybertruckLaunch</v>
      </c>
      <c r="J23" s="33">
        <f t="shared" si="2"/>
        <v>1.2276812319721568E-3</v>
      </c>
    </row>
    <row r="24" spans="1:10" ht="15.75" customHeight="1" x14ac:dyDescent="0.3">
      <c r="A24" s="10" t="s">
        <v>91</v>
      </c>
      <c r="B24" s="2" t="s">
        <v>4</v>
      </c>
      <c r="C24" s="9">
        <v>987</v>
      </c>
      <c r="D24" s="9">
        <v>440</v>
      </c>
      <c r="E24" s="9">
        <v>389810</v>
      </c>
      <c r="F24" s="8">
        <v>4.66</v>
      </c>
      <c r="G24" s="9">
        <v>2932</v>
      </c>
      <c r="H24" s="3">
        <f t="shared" si="0"/>
        <v>547</v>
      </c>
      <c r="I24" s="20" t="str">
        <f>IF(AND(A24&gt;='Campaign Metadata'!$B$2,A24&lt;='Campaign Metadata'!$C$2),"CybertruckLaunch",
IF(AND(A24&gt;='Campaign Metadata'!$B$3,A24&lt;='Campaign Metadata'!$C$3),"ModelYCampaign",
IF(AND(A24&gt;='Campaign Metadata'!$B$4,A24&lt;='Campaign Metadata'!$C$4),"FSDUpdate",
IF(AND(A24&gt;='Campaign Metadata'!$B$5,A24&lt;='Campaign Metadata'!$C$5),"SustainabilityDrive","No Campaign"))))</f>
        <v>CybertruckLaunch</v>
      </c>
      <c r="J24" s="33">
        <f t="shared" si="2"/>
        <v>1.40324773607655E-3</v>
      </c>
    </row>
    <row r="25" spans="1:10" ht="15.75" customHeight="1" x14ac:dyDescent="0.3">
      <c r="A25" s="10" t="s">
        <v>91</v>
      </c>
      <c r="B25" s="2" t="s">
        <v>5</v>
      </c>
      <c r="C25" s="9">
        <v>883</v>
      </c>
      <c r="D25" s="9">
        <v>369</v>
      </c>
      <c r="E25" s="9">
        <v>233694</v>
      </c>
      <c r="F25" s="8">
        <v>2.88</v>
      </c>
      <c r="G25" s="9">
        <v>15071</v>
      </c>
      <c r="H25" s="3">
        <f t="shared" si="0"/>
        <v>514</v>
      </c>
      <c r="I25" s="20" t="str">
        <f>IF(AND(A25&gt;='Campaign Metadata'!$B$2,A25&lt;='Campaign Metadata'!$C$2),"CybertruckLaunch",
IF(AND(A25&gt;='Campaign Metadata'!$B$3,A25&lt;='Campaign Metadata'!$C$3),"ModelYCampaign",
IF(AND(A25&gt;='Campaign Metadata'!$B$4,A25&lt;='Campaign Metadata'!$C$4),"FSDUpdate",
IF(AND(A25&gt;='Campaign Metadata'!$B$5,A25&lt;='Campaign Metadata'!$C$5),"SustainabilityDrive","No Campaign"))))</f>
        <v>CybertruckLaunch</v>
      </c>
      <c r="J25" s="33">
        <f t="shared" si="2"/>
        <v>2.1994574101175039E-3</v>
      </c>
    </row>
    <row r="26" spans="1:10" ht="15.75" customHeight="1" x14ac:dyDescent="0.3">
      <c r="A26" s="10" t="s">
        <v>92</v>
      </c>
      <c r="B26" s="2" t="s">
        <v>3</v>
      </c>
      <c r="C26" s="9">
        <v>1960</v>
      </c>
      <c r="D26" s="9">
        <v>115</v>
      </c>
      <c r="E26" s="9">
        <v>154169</v>
      </c>
      <c r="F26" s="8">
        <v>3.74</v>
      </c>
      <c r="G26" s="9">
        <v>10740</v>
      </c>
      <c r="H26" s="3">
        <f t="shared" si="0"/>
        <v>1845</v>
      </c>
      <c r="I26" s="20" t="str">
        <f>IF(AND(A26&gt;='Campaign Metadata'!$B$2,A26&lt;='Campaign Metadata'!$C$2),"CybertruckLaunch",
IF(AND(A26&gt;='Campaign Metadata'!$B$3,A26&lt;='Campaign Metadata'!$C$3),"ModelYCampaign",
IF(AND(A26&gt;='Campaign Metadata'!$B$4,A26&lt;='Campaign Metadata'!$C$4),"FSDUpdate",
IF(AND(A26&gt;='Campaign Metadata'!$B$5,A26&lt;='Campaign Metadata'!$C$5),"SustainabilityDrive","No Campaign"))))</f>
        <v>CybertruckLaunch</v>
      </c>
      <c r="J26" s="33">
        <f t="shared" si="2"/>
        <v>1.1967386439556591E-2</v>
      </c>
    </row>
    <row r="27" spans="1:10" ht="15.75" customHeight="1" x14ac:dyDescent="0.3">
      <c r="A27" s="10" t="s">
        <v>92</v>
      </c>
      <c r="B27" s="2" t="s">
        <v>2</v>
      </c>
      <c r="C27" s="9">
        <v>170</v>
      </c>
      <c r="D27" s="9">
        <v>334</v>
      </c>
      <c r="E27" s="9">
        <v>334626</v>
      </c>
      <c r="F27" s="8">
        <v>6.44</v>
      </c>
      <c r="G27" s="9">
        <v>43420</v>
      </c>
      <c r="H27" s="3">
        <f t="shared" si="0"/>
        <v>-164</v>
      </c>
      <c r="I27" s="20" t="str">
        <f>IF(AND(A27&gt;='Campaign Metadata'!$B$2,A27&lt;='Campaign Metadata'!$C$2),"CybertruckLaunch",
IF(AND(A27&gt;='Campaign Metadata'!$B$3,A27&lt;='Campaign Metadata'!$C$3),"ModelYCampaign",
IF(AND(A27&gt;='Campaign Metadata'!$B$4,A27&lt;='Campaign Metadata'!$C$4),"FSDUpdate",
IF(AND(A27&gt;='Campaign Metadata'!$B$5,A27&lt;='Campaign Metadata'!$C$5),"SustainabilityDrive","No Campaign"))))</f>
        <v>CybertruckLaunch</v>
      </c>
      <c r="J27" s="33">
        <f t="shared" si="2"/>
        <v>-4.9009939454794306E-4</v>
      </c>
    </row>
    <row r="28" spans="1:10" ht="15.75" customHeight="1" x14ac:dyDescent="0.3">
      <c r="A28" s="10" t="s">
        <v>92</v>
      </c>
      <c r="B28" s="2" t="s">
        <v>4</v>
      </c>
      <c r="C28" s="9">
        <v>704</v>
      </c>
      <c r="D28" s="9">
        <v>275</v>
      </c>
      <c r="E28" s="9">
        <v>226002</v>
      </c>
      <c r="F28" s="8">
        <v>8.56</v>
      </c>
      <c r="G28" s="9">
        <v>32393</v>
      </c>
      <c r="H28" s="3">
        <f t="shared" si="0"/>
        <v>429</v>
      </c>
      <c r="I28" s="20" t="str">
        <f>IF(AND(A28&gt;='Campaign Metadata'!$B$2,A28&lt;='Campaign Metadata'!$C$2),"CybertruckLaunch",
IF(AND(A28&gt;='Campaign Metadata'!$B$3,A28&lt;='Campaign Metadata'!$C$3),"ModelYCampaign",
IF(AND(A28&gt;='Campaign Metadata'!$B$4,A28&lt;='Campaign Metadata'!$C$4),"FSDUpdate",
IF(AND(A28&gt;='Campaign Metadata'!$B$5,A28&lt;='Campaign Metadata'!$C$5),"SustainabilityDrive","No Campaign"))))</f>
        <v>CybertruckLaunch</v>
      </c>
      <c r="J28" s="33">
        <f t="shared" si="2"/>
        <v>1.8982132901478749E-3</v>
      </c>
    </row>
    <row r="29" spans="1:10" ht="15.75" customHeight="1" x14ac:dyDescent="0.3">
      <c r="A29" s="10" t="s">
        <v>92</v>
      </c>
      <c r="B29" s="2" t="s">
        <v>5</v>
      </c>
      <c r="C29" s="9">
        <v>224</v>
      </c>
      <c r="D29" s="9">
        <v>64</v>
      </c>
      <c r="E29" s="9">
        <v>156683</v>
      </c>
      <c r="F29" s="8">
        <v>4.5599999999999996</v>
      </c>
      <c r="G29" s="9">
        <v>28474</v>
      </c>
      <c r="H29" s="3">
        <f t="shared" si="0"/>
        <v>160</v>
      </c>
      <c r="I29" s="20" t="str">
        <f>IF(AND(A29&gt;='Campaign Metadata'!$B$2,A29&lt;='Campaign Metadata'!$C$2),"CybertruckLaunch",
IF(AND(A29&gt;='Campaign Metadata'!$B$3,A29&lt;='Campaign Metadata'!$C$3),"ModelYCampaign",
IF(AND(A29&gt;='Campaign Metadata'!$B$4,A29&lt;='Campaign Metadata'!$C$4),"FSDUpdate",
IF(AND(A29&gt;='Campaign Metadata'!$B$5,A29&lt;='Campaign Metadata'!$C$5),"SustainabilityDrive","No Campaign"))))</f>
        <v>CybertruckLaunch</v>
      </c>
      <c r="J29" s="33">
        <f t="shared" si="2"/>
        <v>1.0211701333265254E-3</v>
      </c>
    </row>
    <row r="30" spans="1:10" ht="15.75" customHeight="1" x14ac:dyDescent="0.3">
      <c r="A30" s="10" t="s">
        <v>93</v>
      </c>
      <c r="B30" s="2" t="s">
        <v>3</v>
      </c>
      <c r="C30" s="9">
        <v>508</v>
      </c>
      <c r="D30" s="9">
        <v>349</v>
      </c>
      <c r="E30" s="9">
        <v>473812</v>
      </c>
      <c r="F30" s="8">
        <v>7.88</v>
      </c>
      <c r="G30" s="9">
        <v>17328</v>
      </c>
      <c r="H30" s="3">
        <f t="shared" si="0"/>
        <v>159</v>
      </c>
      <c r="I30" s="20" t="str">
        <f>IF(AND(A30&gt;='Campaign Metadata'!$B$2,A30&lt;='Campaign Metadata'!$C$2),"CybertruckLaunch",
IF(AND(A30&gt;='Campaign Metadata'!$B$3,A30&lt;='Campaign Metadata'!$C$3),"ModelYCampaign",
IF(AND(A30&gt;='Campaign Metadata'!$B$4,A30&lt;='Campaign Metadata'!$C$4),"FSDUpdate",
IF(AND(A30&gt;='Campaign Metadata'!$B$5,A30&lt;='Campaign Metadata'!$C$5),"SustainabilityDrive","No Campaign"))))</f>
        <v>No Campaign</v>
      </c>
      <c r="J30" s="33">
        <f t="shared" si="2"/>
        <v>3.3557613568250698E-4</v>
      </c>
    </row>
    <row r="31" spans="1:10" ht="15.75" customHeight="1" x14ac:dyDescent="0.3">
      <c r="A31" s="10" t="s">
        <v>93</v>
      </c>
      <c r="B31" s="2" t="s">
        <v>2</v>
      </c>
      <c r="C31" s="9">
        <v>1391</v>
      </c>
      <c r="D31" s="9">
        <v>430</v>
      </c>
      <c r="E31" s="9">
        <v>295032</v>
      </c>
      <c r="F31" s="8">
        <v>7.86</v>
      </c>
      <c r="G31" s="9">
        <v>26067</v>
      </c>
      <c r="H31" s="3">
        <f t="shared" si="0"/>
        <v>961</v>
      </c>
      <c r="I31" s="20" t="str">
        <f>IF(AND(A31&gt;='Campaign Metadata'!$B$2,A31&lt;='Campaign Metadata'!$C$2),"CybertruckLaunch",
IF(AND(A31&gt;='Campaign Metadata'!$B$3,A31&lt;='Campaign Metadata'!$C$3),"ModelYCampaign",
IF(AND(A31&gt;='Campaign Metadata'!$B$4,A31&lt;='Campaign Metadata'!$C$4),"FSDUpdate",
IF(AND(A31&gt;='Campaign Metadata'!$B$5,A31&lt;='Campaign Metadata'!$C$5),"SustainabilityDrive","No Campaign"))))</f>
        <v>No Campaign</v>
      </c>
      <c r="J31" s="33">
        <f t="shared" si="2"/>
        <v>3.2572737872501967E-3</v>
      </c>
    </row>
    <row r="32" spans="1:10" ht="15.75" customHeight="1" x14ac:dyDescent="0.3">
      <c r="A32" s="10" t="s">
        <v>93</v>
      </c>
      <c r="B32" s="2" t="s">
        <v>4</v>
      </c>
      <c r="C32" s="9">
        <v>1701</v>
      </c>
      <c r="D32" s="9">
        <v>385</v>
      </c>
      <c r="E32" s="9">
        <v>198278</v>
      </c>
      <c r="F32" s="8">
        <v>5.34</v>
      </c>
      <c r="G32" s="9">
        <v>32763</v>
      </c>
      <c r="H32" s="3">
        <f t="shared" si="0"/>
        <v>1316</v>
      </c>
      <c r="I32" s="20" t="str">
        <f>IF(AND(A32&gt;='Campaign Metadata'!$B$2,A32&lt;='Campaign Metadata'!$C$2),"CybertruckLaunch",
IF(AND(A32&gt;='Campaign Metadata'!$B$3,A32&lt;='Campaign Metadata'!$C$3),"ModelYCampaign",
IF(AND(A32&gt;='Campaign Metadata'!$B$4,A32&lt;='Campaign Metadata'!$C$4),"FSDUpdate",
IF(AND(A32&gt;='Campaign Metadata'!$B$5,A32&lt;='Campaign Metadata'!$C$5),"SustainabilityDrive","No Campaign"))))</f>
        <v>No Campaign</v>
      </c>
      <c r="J32" s="33">
        <f t="shared" si="2"/>
        <v>6.6371458255580548E-3</v>
      </c>
    </row>
    <row r="33" spans="1:10" ht="15.75" customHeight="1" x14ac:dyDescent="0.3">
      <c r="A33" s="10" t="s">
        <v>93</v>
      </c>
      <c r="B33" s="2" t="s">
        <v>5</v>
      </c>
      <c r="C33" s="9">
        <v>804</v>
      </c>
      <c r="D33" s="9">
        <v>487</v>
      </c>
      <c r="E33" s="9">
        <v>306564</v>
      </c>
      <c r="F33" s="8">
        <v>5.52</v>
      </c>
      <c r="G33" s="9">
        <v>26452</v>
      </c>
      <c r="H33" s="3">
        <f t="shared" si="0"/>
        <v>317</v>
      </c>
      <c r="I33" s="20" t="str">
        <f>IF(AND(A33&gt;='Campaign Metadata'!$B$2,A33&lt;='Campaign Metadata'!$C$2),"CybertruckLaunch",
IF(AND(A33&gt;='Campaign Metadata'!$B$3,A33&lt;='Campaign Metadata'!$C$3),"ModelYCampaign",
IF(AND(A33&gt;='Campaign Metadata'!$B$4,A33&lt;='Campaign Metadata'!$C$4),"FSDUpdate",
IF(AND(A33&gt;='Campaign Metadata'!$B$5,A33&lt;='Campaign Metadata'!$C$5),"SustainabilityDrive","No Campaign"))))</f>
        <v>No Campaign</v>
      </c>
      <c r="J33" s="33">
        <f t="shared" si="2"/>
        <v>1.0340418313957282E-3</v>
      </c>
    </row>
    <row r="34" spans="1:10" ht="15.75" customHeight="1" x14ac:dyDescent="0.3">
      <c r="A34" s="10" t="s">
        <v>94</v>
      </c>
      <c r="B34" s="2" t="s">
        <v>3</v>
      </c>
      <c r="C34" s="9">
        <v>653</v>
      </c>
      <c r="D34" s="9">
        <v>112</v>
      </c>
      <c r="E34" s="9">
        <v>23664</v>
      </c>
      <c r="F34" s="8">
        <v>4.05</v>
      </c>
      <c r="G34" s="9">
        <v>15353</v>
      </c>
      <c r="H34" s="3">
        <f t="shared" si="0"/>
        <v>541</v>
      </c>
      <c r="I34" s="20" t="str">
        <f>IF(AND(A34&gt;='Campaign Metadata'!$B$2,A34&lt;='Campaign Metadata'!$C$2),"CybertruckLaunch",
IF(AND(A34&gt;='Campaign Metadata'!$B$3,A34&lt;='Campaign Metadata'!$C$3),"ModelYCampaign",
IF(AND(A34&gt;='Campaign Metadata'!$B$4,A34&lt;='Campaign Metadata'!$C$4),"FSDUpdate",
IF(AND(A34&gt;='Campaign Metadata'!$B$5,A34&lt;='Campaign Metadata'!$C$5),"SustainabilityDrive","No Campaign"))))</f>
        <v>No Campaign</v>
      </c>
      <c r="J34" s="33">
        <f t="shared" si="2"/>
        <v>2.2861730899256253E-2</v>
      </c>
    </row>
    <row r="35" spans="1:10" ht="15.75" customHeight="1" x14ac:dyDescent="0.3">
      <c r="A35" s="10" t="s">
        <v>94</v>
      </c>
      <c r="B35" s="2" t="s">
        <v>2</v>
      </c>
      <c r="C35" s="9">
        <v>160</v>
      </c>
      <c r="D35" s="9">
        <v>478</v>
      </c>
      <c r="E35" s="9">
        <v>435034</v>
      </c>
      <c r="F35" s="8">
        <v>7.73</v>
      </c>
      <c r="G35" s="9">
        <v>4839</v>
      </c>
      <c r="H35" s="3">
        <f t="shared" si="0"/>
        <v>-318</v>
      </c>
      <c r="I35" s="20" t="str">
        <f>IF(AND(A35&gt;='Campaign Metadata'!$B$2,A35&lt;='Campaign Metadata'!$C$2),"CybertruckLaunch",
IF(AND(A35&gt;='Campaign Metadata'!$B$3,A35&lt;='Campaign Metadata'!$C$3),"ModelYCampaign",
IF(AND(A35&gt;='Campaign Metadata'!$B$4,A35&lt;='Campaign Metadata'!$C$4),"FSDUpdate",
IF(AND(A35&gt;='Campaign Metadata'!$B$5,A35&lt;='Campaign Metadata'!$C$5),"SustainabilityDrive","No Campaign"))))</f>
        <v>No Campaign</v>
      </c>
      <c r="J35" s="33">
        <f t="shared" si="2"/>
        <v>-7.3097734889686784E-4</v>
      </c>
    </row>
    <row r="36" spans="1:10" ht="15.75" customHeight="1" x14ac:dyDescent="0.3">
      <c r="A36" s="10" t="s">
        <v>94</v>
      </c>
      <c r="B36" s="2" t="s">
        <v>4</v>
      </c>
      <c r="C36" s="9">
        <v>1756</v>
      </c>
      <c r="D36" s="9">
        <v>261</v>
      </c>
      <c r="E36" s="9">
        <v>287574</v>
      </c>
      <c r="F36" s="8">
        <v>4.3600000000000003</v>
      </c>
      <c r="G36" s="9">
        <v>39272</v>
      </c>
      <c r="H36" s="3">
        <f t="shared" si="0"/>
        <v>1495</v>
      </c>
      <c r="I36" s="20" t="str">
        <f>IF(AND(A36&gt;='Campaign Metadata'!$B$2,A36&lt;='Campaign Metadata'!$C$2),"CybertruckLaunch",
IF(AND(A36&gt;='Campaign Metadata'!$B$3,A36&lt;='Campaign Metadata'!$C$3),"ModelYCampaign",
IF(AND(A36&gt;='Campaign Metadata'!$B$4,A36&lt;='Campaign Metadata'!$C$4),"FSDUpdate",
IF(AND(A36&gt;='Campaign Metadata'!$B$5,A36&lt;='Campaign Metadata'!$C$5),"SustainabilityDrive","No Campaign"))))</f>
        <v>No Campaign</v>
      </c>
      <c r="J36" s="33">
        <f t="shared" si="2"/>
        <v>5.1986619096302169E-3</v>
      </c>
    </row>
    <row r="37" spans="1:10" ht="15.75" customHeight="1" x14ac:dyDescent="0.3">
      <c r="A37" s="10" t="s">
        <v>94</v>
      </c>
      <c r="B37" s="2" t="s">
        <v>5</v>
      </c>
      <c r="C37" s="9">
        <v>576</v>
      </c>
      <c r="D37" s="9">
        <v>101</v>
      </c>
      <c r="E37" s="9">
        <v>62499</v>
      </c>
      <c r="F37" s="8">
        <v>3.48</v>
      </c>
      <c r="G37" s="9">
        <v>16804</v>
      </c>
      <c r="H37" s="3">
        <f t="shared" si="0"/>
        <v>475</v>
      </c>
      <c r="I37" s="20" t="str">
        <f>IF(AND(A37&gt;='Campaign Metadata'!$B$2,A37&lt;='Campaign Metadata'!$C$2),"CybertruckLaunch",
IF(AND(A37&gt;='Campaign Metadata'!$B$3,A37&lt;='Campaign Metadata'!$C$3),"ModelYCampaign",
IF(AND(A37&gt;='Campaign Metadata'!$B$4,A37&lt;='Campaign Metadata'!$C$4),"FSDUpdate",
IF(AND(A37&gt;='Campaign Metadata'!$B$5,A37&lt;='Campaign Metadata'!$C$5),"SustainabilityDrive","No Campaign"))))</f>
        <v>No Campaign</v>
      </c>
      <c r="J37" s="33">
        <f t="shared" si="2"/>
        <v>7.600121601945631E-3</v>
      </c>
    </row>
    <row r="38" spans="1:10" ht="15.75" customHeight="1" x14ac:dyDescent="0.3">
      <c r="A38" s="10" t="s">
        <v>95</v>
      </c>
      <c r="B38" s="2" t="s">
        <v>3</v>
      </c>
      <c r="C38" s="9">
        <v>645</v>
      </c>
      <c r="D38" s="9">
        <v>293</v>
      </c>
      <c r="E38" s="9">
        <v>437968</v>
      </c>
      <c r="F38" s="8">
        <v>7.83</v>
      </c>
      <c r="G38" s="9">
        <v>49303</v>
      </c>
      <c r="H38" s="3">
        <f t="shared" si="0"/>
        <v>352</v>
      </c>
      <c r="I38" s="20" t="str">
        <f>IF(AND(A38&gt;='Campaign Metadata'!$B$2,A38&lt;='Campaign Metadata'!$C$2),"CybertruckLaunch",
IF(AND(A38&gt;='Campaign Metadata'!$B$3,A38&lt;='Campaign Metadata'!$C$3),"ModelYCampaign",
IF(AND(A38&gt;='Campaign Metadata'!$B$4,A38&lt;='Campaign Metadata'!$C$4),"FSDUpdate",
IF(AND(A38&gt;='Campaign Metadata'!$B$5,A38&lt;='Campaign Metadata'!$C$5),"SustainabilityDrive","No Campaign"))))</f>
        <v>No Campaign</v>
      </c>
      <c r="J38" s="33">
        <f t="shared" si="2"/>
        <v>8.0371168669857163E-4</v>
      </c>
    </row>
    <row r="39" spans="1:10" ht="15.75" customHeight="1" x14ac:dyDescent="0.3">
      <c r="A39" s="10" t="s">
        <v>95</v>
      </c>
      <c r="B39" s="2" t="s">
        <v>2</v>
      </c>
      <c r="C39" s="9">
        <v>214</v>
      </c>
      <c r="D39" s="9">
        <v>411</v>
      </c>
      <c r="E39" s="9">
        <v>125034</v>
      </c>
      <c r="F39" s="8">
        <v>6.11</v>
      </c>
      <c r="G39" s="9">
        <v>26455</v>
      </c>
      <c r="H39" s="3">
        <f t="shared" si="0"/>
        <v>-197</v>
      </c>
      <c r="I39" s="20" t="str">
        <f>IF(AND(A39&gt;='Campaign Metadata'!$B$2,A39&lt;='Campaign Metadata'!$C$2),"CybertruckLaunch",
IF(AND(A39&gt;='Campaign Metadata'!$B$3,A39&lt;='Campaign Metadata'!$C$3),"ModelYCampaign",
IF(AND(A39&gt;='Campaign Metadata'!$B$4,A39&lt;='Campaign Metadata'!$C$4),"FSDUpdate",
IF(AND(A39&gt;='Campaign Metadata'!$B$5,A39&lt;='Campaign Metadata'!$C$5),"SustainabilityDrive","No Campaign"))))</f>
        <v>No Campaign</v>
      </c>
      <c r="J39" s="33">
        <f t="shared" si="2"/>
        <v>-1.5755714445670778E-3</v>
      </c>
    </row>
    <row r="40" spans="1:10" ht="15.75" customHeight="1" x14ac:dyDescent="0.3">
      <c r="A40" s="10" t="s">
        <v>95</v>
      </c>
      <c r="B40" s="2" t="s">
        <v>4</v>
      </c>
      <c r="C40" s="9">
        <v>826</v>
      </c>
      <c r="D40" s="9">
        <v>498</v>
      </c>
      <c r="E40" s="9">
        <v>449994</v>
      </c>
      <c r="F40" s="8">
        <v>9.43</v>
      </c>
      <c r="G40" s="9">
        <v>12384</v>
      </c>
      <c r="H40" s="3">
        <f t="shared" si="0"/>
        <v>328</v>
      </c>
      <c r="I40" s="20" t="str">
        <f>IF(AND(A40&gt;='Campaign Metadata'!$B$2,A40&lt;='Campaign Metadata'!$C$2),"CybertruckLaunch",
IF(AND(A40&gt;='Campaign Metadata'!$B$3,A40&lt;='Campaign Metadata'!$C$3),"ModelYCampaign",
IF(AND(A40&gt;='Campaign Metadata'!$B$4,A40&lt;='Campaign Metadata'!$C$4),"FSDUpdate",
IF(AND(A40&gt;='Campaign Metadata'!$B$5,A40&lt;='Campaign Metadata'!$C$5),"SustainabilityDrive","No Campaign"))))</f>
        <v>No Campaign</v>
      </c>
      <c r="J40" s="33">
        <f t="shared" si="2"/>
        <v>7.2889860753698943E-4</v>
      </c>
    </row>
    <row r="41" spans="1:10" ht="15.75" customHeight="1" x14ac:dyDescent="0.3">
      <c r="A41" s="10" t="s">
        <v>95</v>
      </c>
      <c r="B41" s="2" t="s">
        <v>5</v>
      </c>
      <c r="C41" s="9">
        <v>460</v>
      </c>
      <c r="D41" s="9">
        <v>141</v>
      </c>
      <c r="E41" s="9">
        <v>320650</v>
      </c>
      <c r="F41" s="8">
        <v>4.04</v>
      </c>
      <c r="G41" s="9">
        <v>49372</v>
      </c>
      <c r="H41" s="3">
        <f t="shared" si="0"/>
        <v>319</v>
      </c>
      <c r="I41" s="20" t="str">
        <f>IF(AND(A41&gt;='Campaign Metadata'!$B$2,A41&lt;='Campaign Metadata'!$C$2),"CybertruckLaunch",
IF(AND(A41&gt;='Campaign Metadata'!$B$3,A41&lt;='Campaign Metadata'!$C$3),"ModelYCampaign",
IF(AND(A41&gt;='Campaign Metadata'!$B$4,A41&lt;='Campaign Metadata'!$C$4),"FSDUpdate",
IF(AND(A41&gt;='Campaign Metadata'!$B$5,A41&lt;='Campaign Metadata'!$C$5),"SustainabilityDrive","No Campaign"))))</f>
        <v>No Campaign</v>
      </c>
      <c r="J41" s="33">
        <f t="shared" si="2"/>
        <v>9.9485420240137223E-4</v>
      </c>
    </row>
    <row r="42" spans="1:10" ht="15.75" customHeight="1" x14ac:dyDescent="0.3">
      <c r="A42" s="10" t="s">
        <v>96</v>
      </c>
      <c r="B42" s="2" t="s">
        <v>3</v>
      </c>
      <c r="C42" s="9">
        <v>1528</v>
      </c>
      <c r="D42" s="9">
        <v>203</v>
      </c>
      <c r="E42" s="9">
        <v>489188</v>
      </c>
      <c r="F42" s="8">
        <v>6.23</v>
      </c>
      <c r="G42" s="9">
        <v>47101</v>
      </c>
      <c r="H42" s="3">
        <f t="shared" si="0"/>
        <v>1325</v>
      </c>
      <c r="I42" s="20" t="str">
        <f>IF(AND(A42&gt;='Campaign Metadata'!$B$2,A42&lt;='Campaign Metadata'!$C$2),"CybertruckLaunch",
IF(AND(A42&gt;='Campaign Metadata'!$B$3,A42&lt;='Campaign Metadata'!$C$3),"ModelYCampaign",
IF(AND(A42&gt;='Campaign Metadata'!$B$4,A42&lt;='Campaign Metadata'!$C$4),"FSDUpdate",
IF(AND(A42&gt;='Campaign Metadata'!$B$5,A42&lt;='Campaign Metadata'!$C$5),"SustainabilityDrive","No Campaign"))))</f>
        <v>No Campaign</v>
      </c>
      <c r="J42" s="33">
        <f t="shared" si="2"/>
        <v>2.7085701202809553E-3</v>
      </c>
    </row>
    <row r="43" spans="1:10" ht="15.75" customHeight="1" x14ac:dyDescent="0.3">
      <c r="A43" s="10" t="s">
        <v>96</v>
      </c>
      <c r="B43" s="2" t="s">
        <v>2</v>
      </c>
      <c r="C43" s="9">
        <v>1534</v>
      </c>
      <c r="D43" s="9">
        <v>200</v>
      </c>
      <c r="E43" s="9">
        <v>307612</v>
      </c>
      <c r="F43" s="8">
        <v>6.01</v>
      </c>
      <c r="G43" s="9">
        <v>37903</v>
      </c>
      <c r="H43" s="3">
        <f t="shared" si="0"/>
        <v>1334</v>
      </c>
      <c r="I43" s="20" t="str">
        <f>IF(AND(A43&gt;='Campaign Metadata'!$B$2,A43&lt;='Campaign Metadata'!$C$2),"CybertruckLaunch",
IF(AND(A43&gt;='Campaign Metadata'!$B$3,A43&lt;='Campaign Metadata'!$C$3),"ModelYCampaign",
IF(AND(A43&gt;='Campaign Metadata'!$B$4,A43&lt;='Campaign Metadata'!$C$4),"FSDUpdate",
IF(AND(A43&gt;='Campaign Metadata'!$B$5,A43&lt;='Campaign Metadata'!$C$5),"SustainabilityDrive","No Campaign"))))</f>
        <v>No Campaign</v>
      </c>
      <c r="J43" s="33">
        <f t="shared" si="2"/>
        <v>4.3366318609156986E-3</v>
      </c>
    </row>
    <row r="44" spans="1:10" ht="15.75" customHeight="1" x14ac:dyDescent="0.3">
      <c r="A44" s="10" t="s">
        <v>96</v>
      </c>
      <c r="B44" s="2" t="s">
        <v>4</v>
      </c>
      <c r="C44" s="9">
        <v>485</v>
      </c>
      <c r="D44" s="9">
        <v>448</v>
      </c>
      <c r="E44" s="9">
        <v>434883</v>
      </c>
      <c r="F44" s="8">
        <v>8.5500000000000007</v>
      </c>
      <c r="G44" s="9">
        <v>33258</v>
      </c>
      <c r="H44" s="3">
        <f t="shared" si="0"/>
        <v>37</v>
      </c>
      <c r="I44" s="20" t="str">
        <f>IF(AND(A44&gt;='Campaign Metadata'!$B$2,A44&lt;='Campaign Metadata'!$C$2),"CybertruckLaunch",
IF(AND(A44&gt;='Campaign Metadata'!$B$3,A44&lt;='Campaign Metadata'!$C$3),"ModelYCampaign",
IF(AND(A44&gt;='Campaign Metadata'!$B$4,A44&lt;='Campaign Metadata'!$C$4),"FSDUpdate",
IF(AND(A44&gt;='Campaign Metadata'!$B$5,A44&lt;='Campaign Metadata'!$C$5),"SustainabilityDrive","No Campaign"))))</f>
        <v>No Campaign</v>
      </c>
      <c r="J44" s="33">
        <f t="shared" si="2"/>
        <v>8.5080354946042954E-5</v>
      </c>
    </row>
    <row r="45" spans="1:10" ht="15.75" customHeight="1" x14ac:dyDescent="0.3">
      <c r="A45" s="10" t="s">
        <v>96</v>
      </c>
      <c r="B45" s="2" t="s">
        <v>5</v>
      </c>
      <c r="C45" s="9">
        <v>1210</v>
      </c>
      <c r="D45" s="9">
        <v>178</v>
      </c>
      <c r="E45" s="9">
        <v>102042</v>
      </c>
      <c r="F45" s="8">
        <v>5.42</v>
      </c>
      <c r="G45" s="9">
        <v>6915</v>
      </c>
      <c r="H45" s="3">
        <f t="shared" si="0"/>
        <v>1032</v>
      </c>
      <c r="I45" s="20" t="str">
        <f>IF(AND(A45&gt;='Campaign Metadata'!$B$2,A45&lt;='Campaign Metadata'!$C$2),"CybertruckLaunch",
IF(AND(A45&gt;='Campaign Metadata'!$B$3,A45&lt;='Campaign Metadata'!$C$3),"ModelYCampaign",
IF(AND(A45&gt;='Campaign Metadata'!$B$4,A45&lt;='Campaign Metadata'!$C$4),"FSDUpdate",
IF(AND(A45&gt;='Campaign Metadata'!$B$5,A45&lt;='Campaign Metadata'!$C$5),"SustainabilityDrive","No Campaign"))))</f>
        <v>No Campaign</v>
      </c>
      <c r="J45" s="33">
        <f t="shared" si="2"/>
        <v>1.011348268360087E-2</v>
      </c>
    </row>
    <row r="46" spans="1:10" ht="15.75" customHeight="1" x14ac:dyDescent="0.3">
      <c r="A46" s="10" t="s">
        <v>97</v>
      </c>
      <c r="B46" s="2" t="s">
        <v>3</v>
      </c>
      <c r="C46" s="9">
        <v>215</v>
      </c>
      <c r="D46" s="9">
        <v>139</v>
      </c>
      <c r="E46" s="9">
        <v>325444</v>
      </c>
      <c r="F46" s="8">
        <v>3.25</v>
      </c>
      <c r="G46" s="9">
        <v>35501</v>
      </c>
      <c r="H46" s="3">
        <f t="shared" si="0"/>
        <v>76</v>
      </c>
      <c r="I46" s="20" t="str">
        <f>IF(AND(A46&gt;='Campaign Metadata'!$B$2,A46&lt;='Campaign Metadata'!$C$2),"CybertruckLaunch",
IF(AND(A46&gt;='Campaign Metadata'!$B$3,A46&lt;='Campaign Metadata'!$C$3),"ModelYCampaign",
IF(AND(A46&gt;='Campaign Metadata'!$B$4,A46&lt;='Campaign Metadata'!$C$4),"FSDUpdate",
IF(AND(A46&gt;='Campaign Metadata'!$B$5,A46&lt;='Campaign Metadata'!$C$5),"SustainabilityDrive","No Campaign"))))</f>
        <v>No Campaign</v>
      </c>
      <c r="J46" s="33">
        <f t="shared" si="2"/>
        <v>2.335271198731579E-4</v>
      </c>
    </row>
    <row r="47" spans="1:10" ht="15.75" customHeight="1" x14ac:dyDescent="0.3">
      <c r="A47" s="10" t="s">
        <v>97</v>
      </c>
      <c r="B47" s="2" t="s">
        <v>2</v>
      </c>
      <c r="C47" s="9">
        <v>1078</v>
      </c>
      <c r="D47" s="9">
        <v>20</v>
      </c>
      <c r="E47" s="9">
        <v>183924</v>
      </c>
      <c r="F47" s="8">
        <v>8.84</v>
      </c>
      <c r="G47" s="9">
        <v>14203</v>
      </c>
      <c r="H47" s="3">
        <f t="shared" si="0"/>
        <v>1058</v>
      </c>
      <c r="I47" s="20" t="str">
        <f>IF(AND(A47&gt;='Campaign Metadata'!$B$2,A47&lt;='Campaign Metadata'!$C$2),"CybertruckLaunch",
IF(AND(A47&gt;='Campaign Metadata'!$B$3,A47&lt;='Campaign Metadata'!$C$3),"ModelYCampaign",
IF(AND(A47&gt;='Campaign Metadata'!$B$4,A47&lt;='Campaign Metadata'!$C$4),"FSDUpdate",
IF(AND(A47&gt;='Campaign Metadata'!$B$5,A47&lt;='Campaign Metadata'!$C$5),"SustainabilityDrive","No Campaign"))))</f>
        <v>No Campaign</v>
      </c>
      <c r="J47" s="33">
        <f t="shared" si="2"/>
        <v>5.7523759813836147E-3</v>
      </c>
    </row>
    <row r="48" spans="1:10" ht="15.75" customHeight="1" x14ac:dyDescent="0.3">
      <c r="A48" s="10" t="s">
        <v>97</v>
      </c>
      <c r="B48" s="2" t="s">
        <v>4</v>
      </c>
      <c r="C48" s="9">
        <v>1751</v>
      </c>
      <c r="D48" s="9">
        <v>86</v>
      </c>
      <c r="E48" s="9">
        <v>188655</v>
      </c>
      <c r="F48" s="8">
        <v>7.24</v>
      </c>
      <c r="G48" s="9">
        <v>22206</v>
      </c>
      <c r="H48" s="3">
        <f t="shared" si="0"/>
        <v>1665</v>
      </c>
      <c r="I48" s="20" t="str">
        <f>IF(AND(A48&gt;='Campaign Metadata'!$B$2,A48&lt;='Campaign Metadata'!$C$2),"CybertruckLaunch",
IF(AND(A48&gt;='Campaign Metadata'!$B$3,A48&lt;='Campaign Metadata'!$C$3),"ModelYCampaign",
IF(AND(A48&gt;='Campaign Metadata'!$B$4,A48&lt;='Campaign Metadata'!$C$4),"FSDUpdate",
IF(AND(A48&gt;='Campaign Metadata'!$B$5,A48&lt;='Campaign Metadata'!$C$5),"SustainabilityDrive","No Campaign"))))</f>
        <v>No Campaign</v>
      </c>
      <c r="J48" s="33">
        <f t="shared" si="2"/>
        <v>8.825634093981077E-3</v>
      </c>
    </row>
    <row r="49" spans="1:10" ht="15.75" customHeight="1" x14ac:dyDescent="0.3">
      <c r="A49" s="10" t="s">
        <v>97</v>
      </c>
      <c r="B49" s="2" t="s">
        <v>5</v>
      </c>
      <c r="C49" s="9">
        <v>221</v>
      </c>
      <c r="D49" s="9">
        <v>31</v>
      </c>
      <c r="E49" s="9">
        <v>87443</v>
      </c>
      <c r="F49" s="8">
        <v>6.19</v>
      </c>
      <c r="G49" s="9">
        <v>10283</v>
      </c>
      <c r="H49" s="3">
        <f t="shared" si="0"/>
        <v>190</v>
      </c>
      <c r="I49" s="20" t="str">
        <f>IF(AND(A49&gt;='Campaign Metadata'!$B$2,A49&lt;='Campaign Metadata'!$C$2),"CybertruckLaunch",
IF(AND(A49&gt;='Campaign Metadata'!$B$3,A49&lt;='Campaign Metadata'!$C$3),"ModelYCampaign",
IF(AND(A49&gt;='Campaign Metadata'!$B$4,A49&lt;='Campaign Metadata'!$C$4),"FSDUpdate",
IF(AND(A49&gt;='Campaign Metadata'!$B$5,A49&lt;='Campaign Metadata'!$C$5),"SustainabilityDrive","No Campaign"))))</f>
        <v>No Campaign</v>
      </c>
      <c r="J49" s="33">
        <f t="shared" si="2"/>
        <v>2.1728440241071327E-3</v>
      </c>
    </row>
    <row r="50" spans="1:10" ht="15.75" customHeight="1" x14ac:dyDescent="0.3">
      <c r="A50" s="10" t="s">
        <v>98</v>
      </c>
      <c r="B50" s="2" t="s">
        <v>3</v>
      </c>
      <c r="C50" s="9">
        <v>1685</v>
      </c>
      <c r="D50" s="9">
        <v>76</v>
      </c>
      <c r="E50" s="9">
        <v>453799</v>
      </c>
      <c r="F50" s="8">
        <v>5.71</v>
      </c>
      <c r="G50" s="9">
        <v>24913</v>
      </c>
      <c r="H50" s="3">
        <f t="shared" si="0"/>
        <v>1609</v>
      </c>
      <c r="I50" s="20" t="str">
        <f>IF(AND(A50&gt;='Campaign Metadata'!$B$2,A50&lt;='Campaign Metadata'!$C$2),"CybertruckLaunch",
IF(AND(A50&gt;='Campaign Metadata'!$B$3,A50&lt;='Campaign Metadata'!$C$3),"ModelYCampaign",
IF(AND(A50&gt;='Campaign Metadata'!$B$4,A50&lt;='Campaign Metadata'!$C$4),"FSDUpdate",
IF(AND(A50&gt;='Campaign Metadata'!$B$5,A50&lt;='Campaign Metadata'!$C$5),"SustainabilityDrive","No Campaign"))))</f>
        <v>No Campaign</v>
      </c>
      <c r="J50" s="33">
        <f t="shared" si="2"/>
        <v>3.5456226214689766E-3</v>
      </c>
    </row>
    <row r="51" spans="1:10" ht="15.75" customHeight="1" x14ac:dyDescent="0.3">
      <c r="A51" s="10" t="s">
        <v>98</v>
      </c>
      <c r="B51" s="2" t="s">
        <v>2</v>
      </c>
      <c r="C51" s="9">
        <v>248</v>
      </c>
      <c r="D51" s="9">
        <v>211</v>
      </c>
      <c r="E51" s="9">
        <v>379380</v>
      </c>
      <c r="F51" s="8">
        <v>9.0399999999999991</v>
      </c>
      <c r="G51" s="9">
        <v>26925</v>
      </c>
      <c r="H51" s="3">
        <f t="shared" si="0"/>
        <v>37</v>
      </c>
      <c r="I51" s="20" t="str">
        <f>IF(AND(A51&gt;='Campaign Metadata'!$B$2,A51&lt;='Campaign Metadata'!$C$2),"CybertruckLaunch",
IF(AND(A51&gt;='Campaign Metadata'!$B$3,A51&lt;='Campaign Metadata'!$C$3),"ModelYCampaign",
IF(AND(A51&gt;='Campaign Metadata'!$B$4,A51&lt;='Campaign Metadata'!$C$4),"FSDUpdate",
IF(AND(A51&gt;='Campaign Metadata'!$B$5,A51&lt;='Campaign Metadata'!$C$5),"SustainabilityDrive","No Campaign"))))</f>
        <v>No Campaign</v>
      </c>
      <c r="J51" s="33">
        <f t="shared" si="2"/>
        <v>9.7527544941747058E-5</v>
      </c>
    </row>
    <row r="52" spans="1:10" ht="15.75" customHeight="1" x14ac:dyDescent="0.3">
      <c r="A52" s="10" t="s">
        <v>98</v>
      </c>
      <c r="B52" s="2" t="s">
        <v>4</v>
      </c>
      <c r="C52" s="9">
        <v>1300</v>
      </c>
      <c r="D52" s="9">
        <v>71</v>
      </c>
      <c r="E52" s="9">
        <v>186454</v>
      </c>
      <c r="F52" s="8">
        <v>3.91</v>
      </c>
      <c r="G52" s="9">
        <v>9942</v>
      </c>
      <c r="H52" s="3">
        <f t="shared" si="0"/>
        <v>1229</v>
      </c>
      <c r="I52" s="20" t="str">
        <f>IF(AND(A52&gt;='Campaign Metadata'!$B$2,A52&lt;='Campaign Metadata'!$C$2),"CybertruckLaunch",
IF(AND(A52&gt;='Campaign Metadata'!$B$3,A52&lt;='Campaign Metadata'!$C$3),"ModelYCampaign",
IF(AND(A52&gt;='Campaign Metadata'!$B$4,A52&lt;='Campaign Metadata'!$C$4),"FSDUpdate",
IF(AND(A52&gt;='Campaign Metadata'!$B$5,A52&lt;='Campaign Metadata'!$C$5),"SustainabilityDrive","No Campaign"))))</f>
        <v>No Campaign</v>
      </c>
      <c r="J52" s="33">
        <f t="shared" si="2"/>
        <v>6.5914381026955706E-3</v>
      </c>
    </row>
    <row r="53" spans="1:10" ht="15.75" customHeight="1" x14ac:dyDescent="0.3">
      <c r="A53" s="10" t="s">
        <v>98</v>
      </c>
      <c r="B53" s="2" t="s">
        <v>5</v>
      </c>
      <c r="C53" s="9">
        <v>422</v>
      </c>
      <c r="D53" s="9">
        <v>394</v>
      </c>
      <c r="E53" s="9">
        <v>239044</v>
      </c>
      <c r="F53" s="8">
        <v>7.83</v>
      </c>
      <c r="G53" s="9">
        <v>32929</v>
      </c>
      <c r="H53" s="3">
        <f t="shared" si="0"/>
        <v>28</v>
      </c>
      <c r="I53" s="20" t="str">
        <f>IF(AND(A53&gt;='Campaign Metadata'!$B$2,A53&lt;='Campaign Metadata'!$C$2),"CybertruckLaunch",
IF(AND(A53&gt;='Campaign Metadata'!$B$3,A53&lt;='Campaign Metadata'!$C$3),"ModelYCampaign",
IF(AND(A53&gt;='Campaign Metadata'!$B$4,A53&lt;='Campaign Metadata'!$C$4),"FSDUpdate",
IF(AND(A53&gt;='Campaign Metadata'!$B$5,A53&lt;='Campaign Metadata'!$C$5),"SustainabilityDrive","No Campaign"))))</f>
        <v>No Campaign</v>
      </c>
      <c r="J53" s="33">
        <f t="shared" si="2"/>
        <v>1.1713324743561855E-4</v>
      </c>
    </row>
    <row r="54" spans="1:10" ht="15.75" customHeight="1" x14ac:dyDescent="0.3">
      <c r="A54" s="10" t="s">
        <v>99</v>
      </c>
      <c r="B54" s="2" t="s">
        <v>3</v>
      </c>
      <c r="C54" s="9">
        <v>1429</v>
      </c>
      <c r="D54" s="9">
        <v>182</v>
      </c>
      <c r="E54" s="9">
        <v>101332</v>
      </c>
      <c r="F54" s="8">
        <v>7.16</v>
      </c>
      <c r="G54" s="9">
        <v>37829</v>
      </c>
      <c r="H54" s="3">
        <f t="shared" si="0"/>
        <v>1247</v>
      </c>
      <c r="I54" s="20" t="str">
        <f>IF(AND(A54&gt;='Campaign Metadata'!$B$2,A54&lt;='Campaign Metadata'!$C$2),"CybertruckLaunch",
IF(AND(A54&gt;='Campaign Metadata'!$B$3,A54&lt;='Campaign Metadata'!$C$3),"ModelYCampaign",
IF(AND(A54&gt;='Campaign Metadata'!$B$4,A54&lt;='Campaign Metadata'!$C$4),"FSDUpdate",
IF(AND(A54&gt;='Campaign Metadata'!$B$5,A54&lt;='Campaign Metadata'!$C$5),"SustainabilityDrive","No Campaign"))))</f>
        <v>No Campaign</v>
      </c>
      <c r="J54" s="33">
        <f t="shared" si="2"/>
        <v>1.2306082974775983E-2</v>
      </c>
    </row>
    <row r="55" spans="1:10" ht="15.75" customHeight="1" x14ac:dyDescent="0.3">
      <c r="A55" s="10" t="s">
        <v>99</v>
      </c>
      <c r="B55" s="2" t="s">
        <v>2</v>
      </c>
      <c r="C55" s="9">
        <v>1520</v>
      </c>
      <c r="D55" s="9">
        <v>475</v>
      </c>
      <c r="E55" s="9">
        <v>496982</v>
      </c>
      <c r="F55" s="8">
        <v>6.41</v>
      </c>
      <c r="G55" s="9">
        <v>24384</v>
      </c>
      <c r="H55" s="3">
        <f t="shared" si="0"/>
        <v>1045</v>
      </c>
      <c r="I55" s="20" t="str">
        <f>IF(AND(A55&gt;='Campaign Metadata'!$B$2,A55&lt;='Campaign Metadata'!$C$2),"CybertruckLaunch",
IF(AND(A55&gt;='Campaign Metadata'!$B$3,A55&lt;='Campaign Metadata'!$C$3),"ModelYCampaign",
IF(AND(A55&gt;='Campaign Metadata'!$B$4,A55&lt;='Campaign Metadata'!$C$4),"FSDUpdate",
IF(AND(A55&gt;='Campaign Metadata'!$B$5,A55&lt;='Campaign Metadata'!$C$5),"SustainabilityDrive","No Campaign"))))</f>
        <v>No Campaign</v>
      </c>
      <c r="J55" s="33">
        <f t="shared" si="2"/>
        <v>2.1026918479944948E-3</v>
      </c>
    </row>
    <row r="56" spans="1:10" ht="15.75" customHeight="1" x14ac:dyDescent="0.3">
      <c r="A56" s="10" t="s">
        <v>99</v>
      </c>
      <c r="B56" s="2" t="s">
        <v>4</v>
      </c>
      <c r="C56" s="9">
        <v>557</v>
      </c>
      <c r="D56" s="9">
        <v>360</v>
      </c>
      <c r="E56" s="9">
        <v>318779</v>
      </c>
      <c r="F56" s="8">
        <v>8.02</v>
      </c>
      <c r="G56" s="9">
        <v>25797</v>
      </c>
      <c r="H56" s="3">
        <f t="shared" si="0"/>
        <v>197</v>
      </c>
      <c r="I56" s="20" t="str">
        <f>IF(AND(A56&gt;='Campaign Metadata'!$B$2,A56&lt;='Campaign Metadata'!$C$2),"CybertruckLaunch",
IF(AND(A56&gt;='Campaign Metadata'!$B$3,A56&lt;='Campaign Metadata'!$C$3),"ModelYCampaign",
IF(AND(A56&gt;='Campaign Metadata'!$B$4,A56&lt;='Campaign Metadata'!$C$4),"FSDUpdate",
IF(AND(A56&gt;='Campaign Metadata'!$B$5,A56&lt;='Campaign Metadata'!$C$5),"SustainabilityDrive","No Campaign"))))</f>
        <v>No Campaign</v>
      </c>
      <c r="J56" s="33">
        <f t="shared" si="2"/>
        <v>6.1798299135137512E-4</v>
      </c>
    </row>
    <row r="57" spans="1:10" ht="15.75" customHeight="1" x14ac:dyDescent="0.3">
      <c r="A57" s="10" t="s">
        <v>99</v>
      </c>
      <c r="B57" s="2" t="s">
        <v>5</v>
      </c>
      <c r="C57" s="9">
        <v>728</v>
      </c>
      <c r="D57" s="9">
        <v>395</v>
      </c>
      <c r="E57" s="9">
        <v>370971</v>
      </c>
      <c r="F57" s="8">
        <v>3.86</v>
      </c>
      <c r="G57" s="9">
        <v>12646</v>
      </c>
      <c r="H57" s="3">
        <f t="shared" si="0"/>
        <v>333</v>
      </c>
      <c r="I57" s="20" t="str">
        <f>IF(AND(A57&gt;='Campaign Metadata'!$B$2,A57&lt;='Campaign Metadata'!$C$2),"CybertruckLaunch",
IF(AND(A57&gt;='Campaign Metadata'!$B$3,A57&lt;='Campaign Metadata'!$C$3),"ModelYCampaign",
IF(AND(A57&gt;='Campaign Metadata'!$B$4,A57&lt;='Campaign Metadata'!$C$4),"FSDUpdate",
IF(AND(A57&gt;='Campaign Metadata'!$B$5,A57&lt;='Campaign Metadata'!$C$5),"SustainabilityDrive","No Campaign"))))</f>
        <v>No Campaign</v>
      </c>
      <c r="J57" s="33">
        <f t="shared" si="2"/>
        <v>8.9764429025449434E-4</v>
      </c>
    </row>
    <row r="58" spans="1:10" ht="15.75" customHeight="1" x14ac:dyDescent="0.3">
      <c r="A58" s="10" t="s">
        <v>100</v>
      </c>
      <c r="B58" s="2" t="s">
        <v>3</v>
      </c>
      <c r="C58" s="9">
        <v>1592</v>
      </c>
      <c r="D58" s="9">
        <v>20</v>
      </c>
      <c r="E58" s="9">
        <v>378054</v>
      </c>
      <c r="F58" s="8">
        <v>9.09</v>
      </c>
      <c r="G58" s="9">
        <v>26663</v>
      </c>
      <c r="H58" s="3">
        <f t="shared" si="0"/>
        <v>1572</v>
      </c>
      <c r="I58" s="20" t="str">
        <f>IF(AND(A58&gt;='Campaign Metadata'!$B$2,A58&lt;='Campaign Metadata'!$C$2),"CybertruckLaunch",
IF(AND(A58&gt;='Campaign Metadata'!$B$3,A58&lt;='Campaign Metadata'!$C$3),"ModelYCampaign",
IF(AND(A58&gt;='Campaign Metadata'!$B$4,A58&lt;='Campaign Metadata'!$C$4),"FSDUpdate",
IF(AND(A58&gt;='Campaign Metadata'!$B$5,A58&lt;='Campaign Metadata'!$C$5),"SustainabilityDrive","No Campaign"))))</f>
        <v>No Campaign</v>
      </c>
      <c r="J58" s="33">
        <f t="shared" si="2"/>
        <v>4.1581361392816901E-3</v>
      </c>
    </row>
    <row r="59" spans="1:10" ht="15.75" customHeight="1" x14ac:dyDescent="0.3">
      <c r="A59" s="10" t="s">
        <v>100</v>
      </c>
      <c r="B59" s="2" t="s">
        <v>2</v>
      </c>
      <c r="C59" s="9">
        <v>1842</v>
      </c>
      <c r="D59" s="9">
        <v>414</v>
      </c>
      <c r="E59" s="9">
        <v>307524</v>
      </c>
      <c r="F59" s="8">
        <v>1.76</v>
      </c>
      <c r="G59" s="9">
        <v>40478</v>
      </c>
      <c r="H59" s="3">
        <f t="shared" si="0"/>
        <v>1428</v>
      </c>
      <c r="I59" s="20" t="str">
        <f>IF(AND(A59&gt;='Campaign Metadata'!$B$2,A59&lt;='Campaign Metadata'!$C$2),"CybertruckLaunch",
IF(AND(A59&gt;='Campaign Metadata'!$B$3,A59&lt;='Campaign Metadata'!$C$3),"ModelYCampaign",
IF(AND(A59&gt;='Campaign Metadata'!$B$4,A59&lt;='Campaign Metadata'!$C$4),"FSDUpdate",
IF(AND(A59&gt;='Campaign Metadata'!$B$5,A59&lt;='Campaign Metadata'!$C$5),"SustainabilityDrive","No Campaign"))))</f>
        <v>No Campaign</v>
      </c>
      <c r="J59" s="33">
        <f t="shared" si="2"/>
        <v>4.6435400163889647E-3</v>
      </c>
    </row>
    <row r="60" spans="1:10" ht="15.75" customHeight="1" x14ac:dyDescent="0.3">
      <c r="A60" s="10" t="s">
        <v>100</v>
      </c>
      <c r="B60" s="2" t="s">
        <v>4</v>
      </c>
      <c r="C60" s="9">
        <v>751</v>
      </c>
      <c r="D60" s="9">
        <v>491</v>
      </c>
      <c r="E60" s="9">
        <v>434047</v>
      </c>
      <c r="F60" s="8">
        <v>9.24</v>
      </c>
      <c r="G60" s="9">
        <v>15476</v>
      </c>
      <c r="H60" s="3">
        <f t="shared" si="0"/>
        <v>260</v>
      </c>
      <c r="I60" s="20" t="str">
        <f>IF(AND(A60&gt;='Campaign Metadata'!$B$2,A60&lt;='Campaign Metadata'!$C$2),"CybertruckLaunch",
IF(AND(A60&gt;='Campaign Metadata'!$B$3,A60&lt;='Campaign Metadata'!$C$3),"ModelYCampaign",
IF(AND(A60&gt;='Campaign Metadata'!$B$4,A60&lt;='Campaign Metadata'!$C$4),"FSDUpdate",
IF(AND(A60&gt;='Campaign Metadata'!$B$5,A60&lt;='Campaign Metadata'!$C$5),"SustainabilityDrive","No Campaign"))))</f>
        <v>No Campaign</v>
      </c>
      <c r="J60" s="33">
        <f t="shared" si="2"/>
        <v>5.990134708914012E-4</v>
      </c>
    </row>
    <row r="61" spans="1:10" ht="15.75" customHeight="1" x14ac:dyDescent="0.3">
      <c r="A61" s="10" t="s">
        <v>100</v>
      </c>
      <c r="B61" s="2" t="s">
        <v>5</v>
      </c>
      <c r="C61" s="9">
        <v>1409</v>
      </c>
      <c r="D61" s="9">
        <v>309</v>
      </c>
      <c r="E61" s="9">
        <v>64583</v>
      </c>
      <c r="F61" s="8">
        <v>8.99</v>
      </c>
      <c r="G61" s="9">
        <v>10217</v>
      </c>
      <c r="H61" s="3">
        <f t="shared" si="0"/>
        <v>1100</v>
      </c>
      <c r="I61" s="20" t="str">
        <f>IF(AND(A61&gt;='Campaign Metadata'!$B$2,A61&lt;='Campaign Metadata'!$C$2),"CybertruckLaunch",
IF(AND(A61&gt;='Campaign Metadata'!$B$3,A61&lt;='Campaign Metadata'!$C$3),"ModelYCampaign",
IF(AND(A61&gt;='Campaign Metadata'!$B$4,A61&lt;='Campaign Metadata'!$C$4),"FSDUpdate",
IF(AND(A61&gt;='Campaign Metadata'!$B$5,A61&lt;='Campaign Metadata'!$C$5),"SustainabilityDrive","No Campaign"))))</f>
        <v>No Campaign</v>
      </c>
      <c r="J61" s="33">
        <f t="shared" si="2"/>
        <v>1.7032345973398571E-2</v>
      </c>
    </row>
    <row r="62" spans="1:10" ht="15.75" customHeight="1" x14ac:dyDescent="0.3">
      <c r="A62" s="10" t="s">
        <v>101</v>
      </c>
      <c r="B62" s="2" t="s">
        <v>3</v>
      </c>
      <c r="C62" s="9">
        <v>778</v>
      </c>
      <c r="D62" s="9">
        <v>401</v>
      </c>
      <c r="E62" s="9">
        <v>50793</v>
      </c>
      <c r="F62" s="8">
        <v>3.4</v>
      </c>
      <c r="G62" s="9">
        <v>21939</v>
      </c>
      <c r="H62" s="3">
        <f t="shared" si="0"/>
        <v>377</v>
      </c>
      <c r="I62" s="20" t="str">
        <f>IF(AND(A62&gt;='Campaign Metadata'!$B$2,A62&lt;='Campaign Metadata'!$C$2),"CybertruckLaunch",
IF(AND(A62&gt;='Campaign Metadata'!$B$3,A62&lt;='Campaign Metadata'!$C$3),"ModelYCampaign",
IF(AND(A62&gt;='Campaign Metadata'!$B$4,A62&lt;='Campaign Metadata'!$C$4),"FSDUpdate",
IF(AND(A62&gt;='Campaign Metadata'!$B$5,A62&lt;='Campaign Metadata'!$C$5),"SustainabilityDrive","No Campaign"))))</f>
        <v>No Campaign</v>
      </c>
      <c r="J62" s="33">
        <f t="shared" si="2"/>
        <v>7.4222825979957871E-3</v>
      </c>
    </row>
    <row r="63" spans="1:10" ht="15.75" customHeight="1" x14ac:dyDescent="0.3">
      <c r="A63" s="10" t="s">
        <v>101</v>
      </c>
      <c r="B63" s="2" t="s">
        <v>2</v>
      </c>
      <c r="C63" s="9">
        <v>443</v>
      </c>
      <c r="D63" s="9">
        <v>345</v>
      </c>
      <c r="E63" s="9">
        <v>474162</v>
      </c>
      <c r="F63" s="8">
        <v>9.1999999999999993</v>
      </c>
      <c r="G63" s="9">
        <v>47462</v>
      </c>
      <c r="H63" s="3">
        <f t="shared" si="0"/>
        <v>98</v>
      </c>
      <c r="I63" s="20" t="str">
        <f>IF(AND(A63&gt;='Campaign Metadata'!$B$2,A63&lt;='Campaign Metadata'!$C$2),"CybertruckLaunch",
IF(AND(A63&gt;='Campaign Metadata'!$B$3,A63&lt;='Campaign Metadata'!$C$3),"ModelYCampaign",
IF(AND(A63&gt;='Campaign Metadata'!$B$4,A63&lt;='Campaign Metadata'!$C$4),"FSDUpdate",
IF(AND(A63&gt;='Campaign Metadata'!$B$5,A63&lt;='Campaign Metadata'!$C$5),"SustainabilityDrive","No Campaign"))))</f>
        <v>No Campaign</v>
      </c>
      <c r="J63" s="33">
        <f t="shared" si="2"/>
        <v>2.0668041724136477E-4</v>
      </c>
    </row>
    <row r="64" spans="1:10" ht="15.75" customHeight="1" x14ac:dyDescent="0.3">
      <c r="A64" s="10" t="s">
        <v>101</v>
      </c>
      <c r="B64" s="2" t="s">
        <v>4</v>
      </c>
      <c r="C64" s="9">
        <v>1472</v>
      </c>
      <c r="D64" s="9">
        <v>347</v>
      </c>
      <c r="E64" s="9">
        <v>392355</v>
      </c>
      <c r="F64" s="8">
        <v>8.59</v>
      </c>
      <c r="G64" s="9">
        <v>30270</v>
      </c>
      <c r="H64" s="3">
        <f t="shared" si="0"/>
        <v>1125</v>
      </c>
      <c r="I64" s="20" t="str">
        <f>IF(AND(A64&gt;='Campaign Metadata'!$B$2,A64&lt;='Campaign Metadata'!$C$2),"CybertruckLaunch",
IF(AND(A64&gt;='Campaign Metadata'!$B$3,A64&lt;='Campaign Metadata'!$C$3),"ModelYCampaign",
IF(AND(A64&gt;='Campaign Metadata'!$B$4,A64&lt;='Campaign Metadata'!$C$4),"FSDUpdate",
IF(AND(A64&gt;='Campaign Metadata'!$B$5,A64&lt;='Campaign Metadata'!$C$5),"SustainabilityDrive","No Campaign"))))</f>
        <v>No Campaign</v>
      </c>
      <c r="J64" s="33">
        <f t="shared" si="2"/>
        <v>2.8673012960201858E-3</v>
      </c>
    </row>
    <row r="65" spans="1:10" ht="15.75" customHeight="1" x14ac:dyDescent="0.3">
      <c r="A65" s="10" t="s">
        <v>101</v>
      </c>
      <c r="B65" s="2" t="s">
        <v>5</v>
      </c>
      <c r="C65" s="9">
        <v>123</v>
      </c>
      <c r="D65" s="9">
        <v>155</v>
      </c>
      <c r="E65" s="9">
        <v>119934</v>
      </c>
      <c r="F65" s="8">
        <v>3.5</v>
      </c>
      <c r="G65" s="9">
        <v>5442</v>
      </c>
      <c r="H65" s="3">
        <f t="shared" si="0"/>
        <v>-32</v>
      </c>
      <c r="I65" s="20" t="str">
        <f>IF(AND(A65&gt;='Campaign Metadata'!$B$2,A65&lt;='Campaign Metadata'!$C$2),"CybertruckLaunch",
IF(AND(A65&gt;='Campaign Metadata'!$B$3,A65&lt;='Campaign Metadata'!$C$3),"ModelYCampaign",
IF(AND(A65&gt;='Campaign Metadata'!$B$4,A65&lt;='Campaign Metadata'!$C$4),"FSDUpdate",
IF(AND(A65&gt;='Campaign Metadata'!$B$5,A65&lt;='Campaign Metadata'!$C$5),"SustainabilityDrive","No Campaign"))))</f>
        <v>No Campaign</v>
      </c>
      <c r="J65" s="33">
        <f t="shared" si="2"/>
        <v>-2.6681341404439108E-4</v>
      </c>
    </row>
    <row r="66" spans="1:10" ht="15.75" customHeight="1" x14ac:dyDescent="0.3">
      <c r="A66" s="10" t="s">
        <v>102</v>
      </c>
      <c r="B66" s="2" t="s">
        <v>3</v>
      </c>
      <c r="C66" s="9">
        <v>817</v>
      </c>
      <c r="D66" s="9">
        <v>151</v>
      </c>
      <c r="E66" s="9">
        <v>422625</v>
      </c>
      <c r="F66" s="8">
        <v>2.36</v>
      </c>
      <c r="G66" s="9">
        <v>1083</v>
      </c>
      <c r="H66" s="3">
        <f t="shared" si="0"/>
        <v>666</v>
      </c>
      <c r="I66" s="20" t="str">
        <f>IF(AND(A66&gt;='Campaign Metadata'!$B$2,A66&lt;='Campaign Metadata'!$C$2),"CybertruckLaunch",
IF(AND(A66&gt;='Campaign Metadata'!$B$3,A66&lt;='Campaign Metadata'!$C$3),"ModelYCampaign",
IF(AND(A66&gt;='Campaign Metadata'!$B$4,A66&lt;='Campaign Metadata'!$C$4),"FSDUpdate",
IF(AND(A66&gt;='Campaign Metadata'!$B$5,A66&lt;='Campaign Metadata'!$C$5),"SustainabilityDrive","No Campaign"))))</f>
        <v>No Campaign</v>
      </c>
      <c r="J66" s="33">
        <f t="shared" si="2"/>
        <v>1.5758651286601596E-3</v>
      </c>
    </row>
    <row r="67" spans="1:10" ht="15.75" customHeight="1" x14ac:dyDescent="0.3">
      <c r="A67" s="10" t="s">
        <v>102</v>
      </c>
      <c r="B67" s="2" t="s">
        <v>2</v>
      </c>
      <c r="C67" s="9">
        <v>198</v>
      </c>
      <c r="D67" s="9">
        <v>217</v>
      </c>
      <c r="E67" s="9">
        <v>239753</v>
      </c>
      <c r="F67" s="8">
        <v>7.36</v>
      </c>
      <c r="G67" s="9">
        <v>11901</v>
      </c>
      <c r="H67" s="3">
        <f t="shared" ref="H67:H130" si="3">C67-D67</f>
        <v>-19</v>
      </c>
      <c r="I67" s="20" t="str">
        <f>IF(AND(A67&gt;='Campaign Metadata'!$B$2,A67&lt;='Campaign Metadata'!$C$2),"CybertruckLaunch",
IF(AND(A67&gt;='Campaign Metadata'!$B$3,A67&lt;='Campaign Metadata'!$C$3),"ModelYCampaign",
IF(AND(A67&gt;='Campaign Metadata'!$B$4,A67&lt;='Campaign Metadata'!$C$4),"FSDUpdate",
IF(AND(A67&gt;='Campaign Metadata'!$B$5,A67&lt;='Campaign Metadata'!$C$5),"SustainabilityDrive","No Campaign"))))</f>
        <v>No Campaign</v>
      </c>
      <c r="J67" s="33">
        <f t="shared" si="2"/>
        <v>-7.9248226299566635E-5</v>
      </c>
    </row>
    <row r="68" spans="1:10" ht="15.75" customHeight="1" x14ac:dyDescent="0.3">
      <c r="A68" s="10" t="s">
        <v>102</v>
      </c>
      <c r="B68" s="2" t="s">
        <v>4</v>
      </c>
      <c r="C68" s="9">
        <v>1911</v>
      </c>
      <c r="D68" s="9">
        <v>231</v>
      </c>
      <c r="E68" s="9">
        <v>268516</v>
      </c>
      <c r="F68" s="8">
        <v>8.5500000000000007</v>
      </c>
      <c r="G68" s="9">
        <v>24018</v>
      </c>
      <c r="H68" s="3">
        <f t="shared" si="3"/>
        <v>1680</v>
      </c>
      <c r="I68" s="20" t="str">
        <f>IF(AND(A68&gt;='Campaign Metadata'!$B$2,A68&lt;='Campaign Metadata'!$C$2),"CybertruckLaunch",
IF(AND(A68&gt;='Campaign Metadata'!$B$3,A68&lt;='Campaign Metadata'!$C$3),"ModelYCampaign",
IF(AND(A68&gt;='Campaign Metadata'!$B$4,A68&lt;='Campaign Metadata'!$C$4),"FSDUpdate",
IF(AND(A68&gt;='Campaign Metadata'!$B$5,A68&lt;='Campaign Metadata'!$C$5),"SustainabilityDrive","No Campaign"))))</f>
        <v>No Campaign</v>
      </c>
      <c r="J68" s="33">
        <f t="shared" si="2"/>
        <v>6.2566104068286429E-3</v>
      </c>
    </row>
    <row r="69" spans="1:10" ht="15.75" customHeight="1" x14ac:dyDescent="0.3">
      <c r="A69" s="10" t="s">
        <v>102</v>
      </c>
      <c r="B69" s="2" t="s">
        <v>5</v>
      </c>
      <c r="C69" s="9">
        <v>1218</v>
      </c>
      <c r="D69" s="9">
        <v>212</v>
      </c>
      <c r="E69" s="9">
        <v>63177</v>
      </c>
      <c r="F69" s="8">
        <v>8.1300000000000008</v>
      </c>
      <c r="G69" s="9">
        <v>38883</v>
      </c>
      <c r="H69" s="3">
        <f t="shared" si="3"/>
        <v>1006</v>
      </c>
      <c r="I69" s="20" t="str">
        <f>IF(AND(A69&gt;='Campaign Metadata'!$B$2,A69&lt;='Campaign Metadata'!$C$2),"CybertruckLaunch",
IF(AND(A69&gt;='Campaign Metadata'!$B$3,A69&lt;='Campaign Metadata'!$C$3),"ModelYCampaign",
IF(AND(A69&gt;='Campaign Metadata'!$B$4,A69&lt;='Campaign Metadata'!$C$4),"FSDUpdate",
IF(AND(A69&gt;='Campaign Metadata'!$B$5,A69&lt;='Campaign Metadata'!$C$5),"SustainabilityDrive","No Campaign"))))</f>
        <v>No Campaign</v>
      </c>
      <c r="J69" s="33">
        <f t="shared" si="2"/>
        <v>1.592351646960128E-2</v>
      </c>
    </row>
    <row r="70" spans="1:10" ht="15.75" customHeight="1" x14ac:dyDescent="0.3">
      <c r="A70" s="10" t="s">
        <v>103</v>
      </c>
      <c r="B70" s="2" t="s">
        <v>3</v>
      </c>
      <c r="C70" s="9">
        <v>1433</v>
      </c>
      <c r="D70" s="9">
        <v>408</v>
      </c>
      <c r="E70" s="9">
        <v>370269</v>
      </c>
      <c r="F70" s="8">
        <v>3.3</v>
      </c>
      <c r="G70" s="9">
        <v>30575</v>
      </c>
      <c r="H70" s="3">
        <f t="shared" si="3"/>
        <v>1025</v>
      </c>
      <c r="I70" s="20" t="str">
        <f>IF(AND(A70&gt;='Campaign Metadata'!$B$2,A70&lt;='Campaign Metadata'!$C$2),"CybertruckLaunch",
IF(AND(A70&gt;='Campaign Metadata'!$B$3,A70&lt;='Campaign Metadata'!$C$3),"ModelYCampaign",
IF(AND(A70&gt;='Campaign Metadata'!$B$4,A70&lt;='Campaign Metadata'!$C$4),"FSDUpdate",
IF(AND(A70&gt;='Campaign Metadata'!$B$5,A70&lt;='Campaign Metadata'!$C$5),"SustainabilityDrive","No Campaign"))))</f>
        <v>No Campaign</v>
      </c>
      <c r="J70" s="33">
        <f t="shared" si="2"/>
        <v>2.7682576721248606E-3</v>
      </c>
    </row>
    <row r="71" spans="1:10" ht="15.75" customHeight="1" x14ac:dyDescent="0.3">
      <c r="A71" s="10" t="s">
        <v>103</v>
      </c>
      <c r="B71" s="2" t="s">
        <v>2</v>
      </c>
      <c r="C71" s="9">
        <v>250</v>
      </c>
      <c r="D71" s="9">
        <v>429</v>
      </c>
      <c r="E71" s="9">
        <v>453423</v>
      </c>
      <c r="F71" s="8">
        <v>1.77</v>
      </c>
      <c r="G71" s="9">
        <v>2315</v>
      </c>
      <c r="H71" s="3">
        <f t="shared" si="3"/>
        <v>-179</v>
      </c>
      <c r="I71" s="20" t="str">
        <f>IF(AND(A71&gt;='Campaign Metadata'!$B$2,A71&lt;='Campaign Metadata'!$C$2),"CybertruckLaunch",
IF(AND(A71&gt;='Campaign Metadata'!$B$3,A71&lt;='Campaign Metadata'!$C$3),"ModelYCampaign",
IF(AND(A71&gt;='Campaign Metadata'!$B$4,A71&lt;='Campaign Metadata'!$C$4),"FSDUpdate",
IF(AND(A71&gt;='Campaign Metadata'!$B$5,A71&lt;='Campaign Metadata'!$C$5),"SustainabilityDrive","No Campaign"))))</f>
        <v>No Campaign</v>
      </c>
      <c r="J71" s="33">
        <f t="shared" si="2"/>
        <v>-3.9477485703195471E-4</v>
      </c>
    </row>
    <row r="72" spans="1:10" ht="15.75" customHeight="1" x14ac:dyDescent="0.3">
      <c r="A72" s="10" t="s">
        <v>103</v>
      </c>
      <c r="B72" s="2" t="s">
        <v>4</v>
      </c>
      <c r="C72" s="9">
        <v>752</v>
      </c>
      <c r="D72" s="9">
        <v>153</v>
      </c>
      <c r="E72" s="9">
        <v>64906</v>
      </c>
      <c r="F72" s="8">
        <v>2.09</v>
      </c>
      <c r="G72" s="9">
        <v>12148</v>
      </c>
      <c r="H72" s="3">
        <f t="shared" si="3"/>
        <v>599</v>
      </c>
      <c r="I72" s="20" t="str">
        <f>IF(AND(A72&gt;='Campaign Metadata'!$B$2,A72&lt;='Campaign Metadata'!$C$2),"CybertruckLaunch",
IF(AND(A72&gt;='Campaign Metadata'!$B$3,A72&lt;='Campaign Metadata'!$C$3),"ModelYCampaign",
IF(AND(A72&gt;='Campaign Metadata'!$B$4,A72&lt;='Campaign Metadata'!$C$4),"FSDUpdate",
IF(AND(A72&gt;='Campaign Metadata'!$B$5,A72&lt;='Campaign Metadata'!$C$5),"SustainabilityDrive","No Campaign"))))</f>
        <v>No Campaign</v>
      </c>
      <c r="J72" s="33">
        <f t="shared" si="2"/>
        <v>9.2287307798970819E-3</v>
      </c>
    </row>
    <row r="73" spans="1:10" ht="15.75" customHeight="1" x14ac:dyDescent="0.3">
      <c r="A73" s="10" t="s">
        <v>103</v>
      </c>
      <c r="B73" s="2" t="s">
        <v>5</v>
      </c>
      <c r="C73" s="9">
        <v>1918</v>
      </c>
      <c r="D73" s="9">
        <v>212</v>
      </c>
      <c r="E73" s="9">
        <v>94360</v>
      </c>
      <c r="F73" s="8">
        <v>7.36</v>
      </c>
      <c r="G73" s="9">
        <v>36851</v>
      </c>
      <c r="H73" s="3">
        <f t="shared" si="3"/>
        <v>1706</v>
      </c>
      <c r="I73" s="20" t="str">
        <f>IF(AND(A73&gt;='Campaign Metadata'!$B$2,A73&lt;='Campaign Metadata'!$C$2),"CybertruckLaunch",
IF(AND(A73&gt;='Campaign Metadata'!$B$3,A73&lt;='Campaign Metadata'!$C$3),"ModelYCampaign",
IF(AND(A73&gt;='Campaign Metadata'!$B$4,A73&lt;='Campaign Metadata'!$C$4),"FSDUpdate",
IF(AND(A73&gt;='Campaign Metadata'!$B$5,A73&lt;='Campaign Metadata'!$C$5),"SustainabilityDrive","No Campaign"))))</f>
        <v>No Campaign</v>
      </c>
      <c r="J73" s="33">
        <f t="shared" si="2"/>
        <v>1.8079694785926241E-2</v>
      </c>
    </row>
    <row r="74" spans="1:10" ht="15.75" customHeight="1" x14ac:dyDescent="0.3">
      <c r="A74" s="10" t="s">
        <v>104</v>
      </c>
      <c r="B74" s="2" t="s">
        <v>3</v>
      </c>
      <c r="C74" s="9">
        <v>1939</v>
      </c>
      <c r="D74" s="9">
        <v>67</v>
      </c>
      <c r="E74" s="9">
        <v>187183</v>
      </c>
      <c r="F74" s="8">
        <v>6.25</v>
      </c>
      <c r="G74" s="9">
        <v>41215</v>
      </c>
      <c r="H74" s="3">
        <f t="shared" si="3"/>
        <v>1872</v>
      </c>
      <c r="I74" s="20" t="str">
        <f>IF(AND(A74&gt;='Campaign Metadata'!$B$2,A74&lt;='Campaign Metadata'!$C$2),"CybertruckLaunch",
IF(AND(A74&gt;='Campaign Metadata'!$B$3,A74&lt;='Campaign Metadata'!$C$3),"ModelYCampaign",
IF(AND(A74&gt;='Campaign Metadata'!$B$4,A74&lt;='Campaign Metadata'!$C$4),"FSDUpdate",
IF(AND(A74&gt;='Campaign Metadata'!$B$5,A74&lt;='Campaign Metadata'!$C$5),"SustainabilityDrive","No Campaign"))))</f>
        <v>ModelYCampaign</v>
      </c>
      <c r="J74" s="33">
        <f t="shared" si="2"/>
        <v>1.0000908202133741E-2</v>
      </c>
    </row>
    <row r="75" spans="1:10" ht="15.75" customHeight="1" x14ac:dyDescent="0.3">
      <c r="A75" s="10" t="s">
        <v>104</v>
      </c>
      <c r="B75" s="2" t="s">
        <v>2</v>
      </c>
      <c r="C75" s="9">
        <v>1929</v>
      </c>
      <c r="D75" s="9">
        <v>267</v>
      </c>
      <c r="E75" s="9">
        <v>379363</v>
      </c>
      <c r="F75" s="8">
        <v>1.75</v>
      </c>
      <c r="G75" s="9">
        <v>43836</v>
      </c>
      <c r="H75" s="3">
        <f t="shared" si="3"/>
        <v>1662</v>
      </c>
      <c r="I75" s="20" t="str">
        <f>IF(AND(A75&gt;='Campaign Metadata'!$B$2,A75&lt;='Campaign Metadata'!$C$2),"CybertruckLaunch",
IF(AND(A75&gt;='Campaign Metadata'!$B$3,A75&lt;='Campaign Metadata'!$C$3),"ModelYCampaign",
IF(AND(A75&gt;='Campaign Metadata'!$B$4,A75&lt;='Campaign Metadata'!$C$4),"FSDUpdate",
IF(AND(A75&gt;='Campaign Metadata'!$B$5,A75&lt;='Campaign Metadata'!$C$5),"SustainabilityDrive","No Campaign"))))</f>
        <v>ModelYCampaign</v>
      </c>
      <c r="J75" s="33">
        <f t="shared" si="2"/>
        <v>4.3810281972675247E-3</v>
      </c>
    </row>
    <row r="76" spans="1:10" ht="15.75" customHeight="1" x14ac:dyDescent="0.3">
      <c r="A76" s="10" t="s">
        <v>104</v>
      </c>
      <c r="B76" s="2" t="s">
        <v>4</v>
      </c>
      <c r="C76" s="9">
        <v>437</v>
      </c>
      <c r="D76" s="9">
        <v>330</v>
      </c>
      <c r="E76" s="9">
        <v>476486</v>
      </c>
      <c r="F76" s="8">
        <v>4.97</v>
      </c>
      <c r="G76" s="9">
        <v>4509</v>
      </c>
      <c r="H76" s="3">
        <f t="shared" si="3"/>
        <v>107</v>
      </c>
      <c r="I76" s="20" t="str">
        <f>IF(AND(A76&gt;='Campaign Metadata'!$B$2,A76&lt;='Campaign Metadata'!$C$2),"CybertruckLaunch",
IF(AND(A76&gt;='Campaign Metadata'!$B$3,A76&lt;='Campaign Metadata'!$C$3),"ModelYCampaign",
IF(AND(A76&gt;='Campaign Metadata'!$B$4,A76&lt;='Campaign Metadata'!$C$4),"FSDUpdate",
IF(AND(A76&gt;='Campaign Metadata'!$B$5,A76&lt;='Campaign Metadata'!$C$5),"SustainabilityDrive","No Campaign"))))</f>
        <v>ModelYCampaign</v>
      </c>
      <c r="J76" s="33">
        <f t="shared" si="2"/>
        <v>2.2456063766826309E-4</v>
      </c>
    </row>
    <row r="77" spans="1:10" ht="15.75" customHeight="1" x14ac:dyDescent="0.3">
      <c r="A77" s="10" t="s">
        <v>104</v>
      </c>
      <c r="B77" s="2" t="s">
        <v>5</v>
      </c>
      <c r="C77" s="9">
        <v>307</v>
      </c>
      <c r="D77" s="9">
        <v>189</v>
      </c>
      <c r="E77" s="9">
        <v>117767</v>
      </c>
      <c r="F77" s="8">
        <v>9.3000000000000007</v>
      </c>
      <c r="G77" s="9">
        <v>27822</v>
      </c>
      <c r="H77" s="3">
        <f t="shared" si="3"/>
        <v>118</v>
      </c>
      <c r="I77" s="20" t="str">
        <f>IF(AND(A77&gt;='Campaign Metadata'!$B$2,A77&lt;='Campaign Metadata'!$C$2),"CybertruckLaunch",
IF(AND(A77&gt;='Campaign Metadata'!$B$3,A77&lt;='Campaign Metadata'!$C$3),"ModelYCampaign",
IF(AND(A77&gt;='Campaign Metadata'!$B$4,A77&lt;='Campaign Metadata'!$C$4),"FSDUpdate",
IF(AND(A77&gt;='Campaign Metadata'!$B$5,A77&lt;='Campaign Metadata'!$C$5),"SustainabilityDrive","No Campaign"))))</f>
        <v>ModelYCampaign</v>
      </c>
      <c r="J77" s="33">
        <f t="shared" si="2"/>
        <v>1.0019784829366461E-3</v>
      </c>
    </row>
    <row r="78" spans="1:10" ht="15.75" customHeight="1" x14ac:dyDescent="0.3">
      <c r="A78" s="10" t="s">
        <v>105</v>
      </c>
      <c r="B78" s="2" t="s">
        <v>3</v>
      </c>
      <c r="C78" s="9">
        <v>1527</v>
      </c>
      <c r="D78" s="9">
        <v>303</v>
      </c>
      <c r="E78" s="9">
        <v>388555</v>
      </c>
      <c r="F78" s="8">
        <v>8.9</v>
      </c>
      <c r="G78" s="9">
        <v>36397</v>
      </c>
      <c r="H78" s="3">
        <f t="shared" si="3"/>
        <v>1224</v>
      </c>
      <c r="I78" s="20" t="str">
        <f>IF(AND(A78&gt;='Campaign Metadata'!$B$2,A78&lt;='Campaign Metadata'!$C$2),"CybertruckLaunch",
IF(AND(A78&gt;='Campaign Metadata'!$B$3,A78&lt;='Campaign Metadata'!$C$3),"ModelYCampaign",
IF(AND(A78&gt;='Campaign Metadata'!$B$4,A78&lt;='Campaign Metadata'!$C$4),"FSDUpdate",
IF(AND(A78&gt;='Campaign Metadata'!$B$5,A78&lt;='Campaign Metadata'!$C$5),"SustainabilityDrive","No Campaign"))))</f>
        <v>ModelYCampaign</v>
      </c>
      <c r="J78" s="33">
        <f t="shared" si="2"/>
        <v>3.1501331857780751E-3</v>
      </c>
    </row>
    <row r="79" spans="1:10" ht="15.75" customHeight="1" x14ac:dyDescent="0.3">
      <c r="A79" s="10" t="s">
        <v>105</v>
      </c>
      <c r="B79" s="2" t="s">
        <v>2</v>
      </c>
      <c r="C79" s="9">
        <v>643</v>
      </c>
      <c r="D79" s="9">
        <v>358</v>
      </c>
      <c r="E79" s="9">
        <v>157599</v>
      </c>
      <c r="F79" s="8">
        <v>3.88</v>
      </c>
      <c r="G79" s="9">
        <v>7285</v>
      </c>
      <c r="H79" s="3">
        <f t="shared" si="3"/>
        <v>285</v>
      </c>
      <c r="I79" s="20" t="str">
        <f>IF(AND(A79&gt;='Campaign Metadata'!$B$2,A79&lt;='Campaign Metadata'!$C$2),"CybertruckLaunch",
IF(AND(A79&gt;='Campaign Metadata'!$B$3,A79&lt;='Campaign Metadata'!$C$3),"ModelYCampaign",
IF(AND(A79&gt;='Campaign Metadata'!$B$4,A79&lt;='Campaign Metadata'!$C$4),"FSDUpdate",
IF(AND(A79&gt;='Campaign Metadata'!$B$5,A79&lt;='Campaign Metadata'!$C$5),"SustainabilityDrive","No Campaign"))))</f>
        <v>ModelYCampaign</v>
      </c>
      <c r="J79" s="33">
        <f t="shared" si="2"/>
        <v>1.8083871090552605E-3</v>
      </c>
    </row>
    <row r="80" spans="1:10" ht="15.75" customHeight="1" x14ac:dyDescent="0.3">
      <c r="A80" s="10" t="s">
        <v>105</v>
      </c>
      <c r="B80" s="2" t="s">
        <v>4</v>
      </c>
      <c r="C80" s="9">
        <v>201</v>
      </c>
      <c r="D80" s="9">
        <v>221</v>
      </c>
      <c r="E80" s="9">
        <v>309772</v>
      </c>
      <c r="F80" s="8">
        <v>5.9</v>
      </c>
      <c r="G80" s="9">
        <v>33174</v>
      </c>
      <c r="H80" s="3">
        <f t="shared" si="3"/>
        <v>-20</v>
      </c>
      <c r="I80" s="20" t="str">
        <f>IF(AND(A80&gt;='Campaign Metadata'!$B$2,A80&lt;='Campaign Metadata'!$C$2),"CybertruckLaunch",
IF(AND(A80&gt;='Campaign Metadata'!$B$3,A80&lt;='Campaign Metadata'!$C$3),"ModelYCampaign",
IF(AND(A80&gt;='Campaign Metadata'!$B$4,A80&lt;='Campaign Metadata'!$C$4),"FSDUpdate",
IF(AND(A80&gt;='Campaign Metadata'!$B$5,A80&lt;='Campaign Metadata'!$C$5),"SustainabilityDrive","No Campaign"))))</f>
        <v>ModelYCampaign</v>
      </c>
      <c r="J80" s="33">
        <f t="shared" si="2"/>
        <v>-6.456361452939582E-5</v>
      </c>
    </row>
    <row r="81" spans="1:10" ht="15.75" customHeight="1" x14ac:dyDescent="0.3">
      <c r="A81" s="10" t="s">
        <v>105</v>
      </c>
      <c r="B81" s="2" t="s">
        <v>5</v>
      </c>
      <c r="C81" s="9">
        <v>414</v>
      </c>
      <c r="D81" s="9">
        <v>47</v>
      </c>
      <c r="E81" s="9">
        <v>199178</v>
      </c>
      <c r="F81" s="8">
        <v>1.53</v>
      </c>
      <c r="G81" s="9">
        <v>6742</v>
      </c>
      <c r="H81" s="3">
        <f t="shared" si="3"/>
        <v>367</v>
      </c>
      <c r="I81" s="20" t="str">
        <f>IF(AND(A81&gt;='Campaign Metadata'!$B$2,A81&lt;='Campaign Metadata'!$C$2),"CybertruckLaunch",
IF(AND(A81&gt;='Campaign Metadata'!$B$3,A81&lt;='Campaign Metadata'!$C$3),"ModelYCampaign",
IF(AND(A81&gt;='Campaign Metadata'!$B$4,A81&lt;='Campaign Metadata'!$C$4),"FSDUpdate",
IF(AND(A81&gt;='Campaign Metadata'!$B$5,A81&lt;='Campaign Metadata'!$C$5),"SustainabilityDrive","No Campaign"))))</f>
        <v>ModelYCampaign</v>
      </c>
      <c r="J81" s="33">
        <f t="shared" si="2"/>
        <v>1.8425729749269497E-3</v>
      </c>
    </row>
    <row r="82" spans="1:10" ht="15.75" customHeight="1" x14ac:dyDescent="0.3">
      <c r="A82" s="10" t="s">
        <v>106</v>
      </c>
      <c r="B82" s="2" t="s">
        <v>3</v>
      </c>
      <c r="C82" s="9">
        <v>703</v>
      </c>
      <c r="D82" s="9">
        <v>441</v>
      </c>
      <c r="E82" s="9">
        <v>357089</v>
      </c>
      <c r="F82" s="8">
        <v>6.5</v>
      </c>
      <c r="G82" s="9">
        <v>32478</v>
      </c>
      <c r="H82" s="3">
        <f t="shared" si="3"/>
        <v>262</v>
      </c>
      <c r="I82" s="20" t="str">
        <f>IF(AND(A82&gt;='Campaign Metadata'!$B$2,A82&lt;='Campaign Metadata'!$C$2),"CybertruckLaunch",
IF(AND(A82&gt;='Campaign Metadata'!$B$3,A82&lt;='Campaign Metadata'!$C$3),"ModelYCampaign",
IF(AND(A82&gt;='Campaign Metadata'!$B$4,A82&lt;='Campaign Metadata'!$C$4),"FSDUpdate",
IF(AND(A82&gt;='Campaign Metadata'!$B$5,A82&lt;='Campaign Metadata'!$C$5),"SustainabilityDrive","No Campaign"))))</f>
        <v>ModelYCampaign</v>
      </c>
      <c r="J82" s="33">
        <f t="shared" si="2"/>
        <v>7.3371064356504961E-4</v>
      </c>
    </row>
    <row r="83" spans="1:10" ht="15.75" customHeight="1" x14ac:dyDescent="0.3">
      <c r="A83" s="10" t="s">
        <v>106</v>
      </c>
      <c r="B83" s="2" t="s">
        <v>2</v>
      </c>
      <c r="C83" s="9">
        <v>508</v>
      </c>
      <c r="D83" s="9">
        <v>69</v>
      </c>
      <c r="E83" s="9">
        <v>23492</v>
      </c>
      <c r="F83" s="8">
        <v>3.16</v>
      </c>
      <c r="G83" s="9">
        <v>42824</v>
      </c>
      <c r="H83" s="3">
        <f t="shared" si="3"/>
        <v>439</v>
      </c>
      <c r="I83" s="20" t="str">
        <f>IF(AND(A83&gt;='Campaign Metadata'!$B$2,A83&lt;='Campaign Metadata'!$C$2),"CybertruckLaunch",
IF(AND(A83&gt;='Campaign Metadata'!$B$3,A83&lt;='Campaign Metadata'!$C$3),"ModelYCampaign",
IF(AND(A83&gt;='Campaign Metadata'!$B$4,A83&lt;='Campaign Metadata'!$C$4),"FSDUpdate",
IF(AND(A83&gt;='Campaign Metadata'!$B$5,A83&lt;='Campaign Metadata'!$C$5),"SustainabilityDrive","No Campaign"))))</f>
        <v>ModelYCampaign</v>
      </c>
      <c r="J83" s="33">
        <f t="shared" ref="J83:J146" si="4">(C83-D83)/E83</f>
        <v>1.8687212668142345E-2</v>
      </c>
    </row>
    <row r="84" spans="1:10" ht="15.75" customHeight="1" x14ac:dyDescent="0.3">
      <c r="A84" s="10" t="s">
        <v>106</v>
      </c>
      <c r="B84" s="2" t="s">
        <v>4</v>
      </c>
      <c r="C84" s="9">
        <v>697</v>
      </c>
      <c r="D84" s="9">
        <v>61</v>
      </c>
      <c r="E84" s="9">
        <v>258287</v>
      </c>
      <c r="F84" s="8">
        <v>8.25</v>
      </c>
      <c r="G84" s="9">
        <v>21208</v>
      </c>
      <c r="H84" s="3">
        <f t="shared" si="3"/>
        <v>636</v>
      </c>
      <c r="I84" s="20" t="str">
        <f>IF(AND(A84&gt;='Campaign Metadata'!$B$2,A84&lt;='Campaign Metadata'!$C$2),"CybertruckLaunch",
IF(AND(A84&gt;='Campaign Metadata'!$B$3,A84&lt;='Campaign Metadata'!$C$3),"ModelYCampaign",
IF(AND(A84&gt;='Campaign Metadata'!$B$4,A84&lt;='Campaign Metadata'!$C$4),"FSDUpdate",
IF(AND(A84&gt;='Campaign Metadata'!$B$5,A84&lt;='Campaign Metadata'!$C$5),"SustainabilityDrive","No Campaign"))))</f>
        <v>ModelYCampaign</v>
      </c>
      <c r="J84" s="33">
        <f t="shared" si="4"/>
        <v>2.4623771231227277E-3</v>
      </c>
    </row>
    <row r="85" spans="1:10" ht="15.75" customHeight="1" x14ac:dyDescent="0.3">
      <c r="A85" s="10" t="s">
        <v>106</v>
      </c>
      <c r="B85" s="2" t="s">
        <v>5</v>
      </c>
      <c r="C85" s="9">
        <v>1707</v>
      </c>
      <c r="D85" s="9">
        <v>223</v>
      </c>
      <c r="E85" s="9">
        <v>256910</v>
      </c>
      <c r="F85" s="8">
        <v>5.41</v>
      </c>
      <c r="G85" s="9">
        <v>44321</v>
      </c>
      <c r="H85" s="3">
        <f t="shared" si="3"/>
        <v>1484</v>
      </c>
      <c r="I85" s="20" t="str">
        <f>IF(AND(A85&gt;='Campaign Metadata'!$B$2,A85&lt;='Campaign Metadata'!$C$2),"CybertruckLaunch",
IF(AND(A85&gt;='Campaign Metadata'!$B$3,A85&lt;='Campaign Metadata'!$C$3),"ModelYCampaign",
IF(AND(A85&gt;='Campaign Metadata'!$B$4,A85&lt;='Campaign Metadata'!$C$4),"FSDUpdate",
IF(AND(A85&gt;='Campaign Metadata'!$B$5,A85&lt;='Campaign Metadata'!$C$5),"SustainabilityDrive","No Campaign"))))</f>
        <v>ModelYCampaign</v>
      </c>
      <c r="J85" s="33">
        <f t="shared" si="4"/>
        <v>5.7763419096181542E-3</v>
      </c>
    </row>
    <row r="86" spans="1:10" ht="15.75" customHeight="1" x14ac:dyDescent="0.3">
      <c r="A86" s="10" t="s">
        <v>107</v>
      </c>
      <c r="B86" s="2" t="s">
        <v>3</v>
      </c>
      <c r="C86" s="9">
        <v>642</v>
      </c>
      <c r="D86" s="9">
        <v>66</v>
      </c>
      <c r="E86" s="9">
        <v>346522</v>
      </c>
      <c r="F86" s="8">
        <v>5.85</v>
      </c>
      <c r="G86" s="9">
        <v>13116</v>
      </c>
      <c r="H86" s="3">
        <f t="shared" si="3"/>
        <v>576</v>
      </c>
      <c r="I86" s="20" t="str">
        <f>IF(AND(A86&gt;='Campaign Metadata'!$B$2,A86&lt;='Campaign Metadata'!$C$2),"CybertruckLaunch",
IF(AND(A86&gt;='Campaign Metadata'!$B$3,A86&lt;='Campaign Metadata'!$C$3),"ModelYCampaign",
IF(AND(A86&gt;='Campaign Metadata'!$B$4,A86&lt;='Campaign Metadata'!$C$4),"FSDUpdate",
IF(AND(A86&gt;='Campaign Metadata'!$B$5,A86&lt;='Campaign Metadata'!$C$5),"SustainabilityDrive","No Campaign"))))</f>
        <v>ModelYCampaign</v>
      </c>
      <c r="J86" s="33">
        <f t="shared" si="4"/>
        <v>1.6622321237901201E-3</v>
      </c>
    </row>
    <row r="87" spans="1:10" ht="15.75" customHeight="1" x14ac:dyDescent="0.3">
      <c r="A87" s="10" t="s">
        <v>107</v>
      </c>
      <c r="B87" s="2" t="s">
        <v>2</v>
      </c>
      <c r="C87" s="9">
        <v>859</v>
      </c>
      <c r="D87" s="9">
        <v>473</v>
      </c>
      <c r="E87" s="9">
        <v>209987</v>
      </c>
      <c r="F87" s="8">
        <v>4.46</v>
      </c>
      <c r="G87" s="9">
        <v>30214</v>
      </c>
      <c r="H87" s="3">
        <f t="shared" si="3"/>
        <v>386</v>
      </c>
      <c r="I87" s="20" t="str">
        <f>IF(AND(A87&gt;='Campaign Metadata'!$B$2,A87&lt;='Campaign Metadata'!$C$2),"CybertruckLaunch",
IF(AND(A87&gt;='Campaign Metadata'!$B$3,A87&lt;='Campaign Metadata'!$C$3),"ModelYCampaign",
IF(AND(A87&gt;='Campaign Metadata'!$B$4,A87&lt;='Campaign Metadata'!$C$4),"FSDUpdate",
IF(AND(A87&gt;='Campaign Metadata'!$B$5,A87&lt;='Campaign Metadata'!$C$5),"SustainabilityDrive","No Campaign"))))</f>
        <v>ModelYCampaign</v>
      </c>
      <c r="J87" s="33">
        <f t="shared" si="4"/>
        <v>1.8382090319876945E-3</v>
      </c>
    </row>
    <row r="88" spans="1:10" ht="15.75" customHeight="1" x14ac:dyDescent="0.3">
      <c r="A88" s="10" t="s">
        <v>107</v>
      </c>
      <c r="B88" s="2" t="s">
        <v>4</v>
      </c>
      <c r="C88" s="9">
        <v>191</v>
      </c>
      <c r="D88" s="9">
        <v>154</v>
      </c>
      <c r="E88" s="9">
        <v>240550</v>
      </c>
      <c r="F88" s="8">
        <v>5.22</v>
      </c>
      <c r="G88" s="9">
        <v>15827</v>
      </c>
      <c r="H88" s="3">
        <f t="shared" si="3"/>
        <v>37</v>
      </c>
      <c r="I88" s="20" t="str">
        <f>IF(AND(A88&gt;='Campaign Metadata'!$B$2,A88&lt;='Campaign Metadata'!$C$2),"CybertruckLaunch",
IF(AND(A88&gt;='Campaign Metadata'!$B$3,A88&lt;='Campaign Metadata'!$C$3),"ModelYCampaign",
IF(AND(A88&gt;='Campaign Metadata'!$B$4,A88&lt;='Campaign Metadata'!$C$4),"FSDUpdate",
IF(AND(A88&gt;='Campaign Metadata'!$B$5,A88&lt;='Campaign Metadata'!$C$5),"SustainabilityDrive","No Campaign"))))</f>
        <v>ModelYCampaign</v>
      </c>
      <c r="J88" s="33">
        <f t="shared" si="4"/>
        <v>1.5381417584701726E-4</v>
      </c>
    </row>
    <row r="89" spans="1:10" ht="15.75" customHeight="1" x14ac:dyDescent="0.3">
      <c r="A89" s="10" t="s">
        <v>107</v>
      </c>
      <c r="B89" s="2" t="s">
        <v>5</v>
      </c>
      <c r="C89" s="9">
        <v>1814</v>
      </c>
      <c r="D89" s="9">
        <v>157</v>
      </c>
      <c r="E89" s="9">
        <v>305827</v>
      </c>
      <c r="F89" s="8">
        <v>1.99</v>
      </c>
      <c r="G89" s="9">
        <v>46643</v>
      </c>
      <c r="H89" s="3">
        <f t="shared" si="3"/>
        <v>1657</v>
      </c>
      <c r="I89" s="20" t="str">
        <f>IF(AND(A89&gt;='Campaign Metadata'!$B$2,A89&lt;='Campaign Metadata'!$C$2),"CybertruckLaunch",
IF(AND(A89&gt;='Campaign Metadata'!$B$3,A89&lt;='Campaign Metadata'!$C$3),"ModelYCampaign",
IF(AND(A89&gt;='Campaign Metadata'!$B$4,A89&lt;='Campaign Metadata'!$C$4),"FSDUpdate",
IF(AND(A89&gt;='Campaign Metadata'!$B$5,A89&lt;='Campaign Metadata'!$C$5),"SustainabilityDrive","No Campaign"))))</f>
        <v>ModelYCampaign</v>
      </c>
      <c r="J89" s="33">
        <f t="shared" si="4"/>
        <v>5.4180958515762179E-3</v>
      </c>
    </row>
    <row r="90" spans="1:10" ht="15.75" customHeight="1" x14ac:dyDescent="0.3">
      <c r="A90" s="10" t="s">
        <v>108</v>
      </c>
      <c r="B90" s="2" t="s">
        <v>3</v>
      </c>
      <c r="C90" s="9">
        <v>1466</v>
      </c>
      <c r="D90" s="9">
        <v>69</v>
      </c>
      <c r="E90" s="9">
        <v>54935</v>
      </c>
      <c r="F90" s="8">
        <v>6.85</v>
      </c>
      <c r="G90" s="9">
        <v>36484</v>
      </c>
      <c r="H90" s="3">
        <f t="shared" si="3"/>
        <v>1397</v>
      </c>
      <c r="I90" s="20" t="str">
        <f>IF(AND(A90&gt;='Campaign Metadata'!$B$2,A90&lt;='Campaign Metadata'!$C$2),"CybertruckLaunch",
IF(AND(A90&gt;='Campaign Metadata'!$B$3,A90&lt;='Campaign Metadata'!$C$3),"ModelYCampaign",
IF(AND(A90&gt;='Campaign Metadata'!$B$4,A90&lt;='Campaign Metadata'!$C$4),"FSDUpdate",
IF(AND(A90&gt;='Campaign Metadata'!$B$5,A90&lt;='Campaign Metadata'!$C$5),"SustainabilityDrive","No Campaign"))))</f>
        <v>No Campaign</v>
      </c>
      <c r="J90" s="33">
        <f t="shared" si="4"/>
        <v>2.5430053699827069E-2</v>
      </c>
    </row>
    <row r="91" spans="1:10" ht="15.75" customHeight="1" x14ac:dyDescent="0.3">
      <c r="A91" s="10" t="s">
        <v>108</v>
      </c>
      <c r="B91" s="2" t="s">
        <v>2</v>
      </c>
      <c r="C91" s="9">
        <v>947</v>
      </c>
      <c r="D91" s="9">
        <v>407</v>
      </c>
      <c r="E91" s="9">
        <v>319186</v>
      </c>
      <c r="F91" s="8">
        <v>3.32</v>
      </c>
      <c r="G91" s="9">
        <v>4996</v>
      </c>
      <c r="H91" s="3">
        <f t="shared" si="3"/>
        <v>540</v>
      </c>
      <c r="I91" s="20" t="str">
        <f>IF(AND(A91&gt;='Campaign Metadata'!$B$2,A91&lt;='Campaign Metadata'!$C$2),"CybertruckLaunch",
IF(AND(A91&gt;='Campaign Metadata'!$B$3,A91&lt;='Campaign Metadata'!$C$3),"ModelYCampaign",
IF(AND(A91&gt;='Campaign Metadata'!$B$4,A91&lt;='Campaign Metadata'!$C$4),"FSDUpdate",
IF(AND(A91&gt;='Campaign Metadata'!$B$5,A91&lt;='Campaign Metadata'!$C$5),"SustainabilityDrive","No Campaign"))))</f>
        <v>No Campaign</v>
      </c>
      <c r="J91" s="33">
        <f t="shared" si="4"/>
        <v>1.6918035252172713E-3</v>
      </c>
    </row>
    <row r="92" spans="1:10" ht="15.75" customHeight="1" x14ac:dyDescent="0.3">
      <c r="A92" s="10" t="s">
        <v>108</v>
      </c>
      <c r="B92" s="2" t="s">
        <v>4</v>
      </c>
      <c r="C92" s="9">
        <v>1821</v>
      </c>
      <c r="D92" s="9">
        <v>218</v>
      </c>
      <c r="E92" s="9">
        <v>439080</v>
      </c>
      <c r="F92" s="8">
        <v>5.68</v>
      </c>
      <c r="G92" s="9">
        <v>36095</v>
      </c>
      <c r="H92" s="3">
        <f t="shared" si="3"/>
        <v>1603</v>
      </c>
      <c r="I92" s="20" t="str">
        <f>IF(AND(A92&gt;='Campaign Metadata'!$B$2,A92&lt;='Campaign Metadata'!$C$2),"CybertruckLaunch",
IF(AND(A92&gt;='Campaign Metadata'!$B$3,A92&lt;='Campaign Metadata'!$C$3),"ModelYCampaign",
IF(AND(A92&gt;='Campaign Metadata'!$B$4,A92&lt;='Campaign Metadata'!$C$4),"FSDUpdate",
IF(AND(A92&gt;='Campaign Metadata'!$B$5,A92&lt;='Campaign Metadata'!$C$5),"SustainabilityDrive","No Campaign"))))</f>
        <v>No Campaign</v>
      </c>
      <c r="J92" s="33">
        <f t="shared" si="4"/>
        <v>3.6508153411678964E-3</v>
      </c>
    </row>
    <row r="93" spans="1:10" ht="15.75" customHeight="1" x14ac:dyDescent="0.3">
      <c r="A93" s="10" t="s">
        <v>108</v>
      </c>
      <c r="B93" s="2" t="s">
        <v>5</v>
      </c>
      <c r="C93" s="9">
        <v>1507</v>
      </c>
      <c r="D93" s="9">
        <v>463</v>
      </c>
      <c r="E93" s="9">
        <v>258944</v>
      </c>
      <c r="F93" s="8">
        <v>6.08</v>
      </c>
      <c r="G93" s="9">
        <v>16443</v>
      </c>
      <c r="H93" s="3">
        <f t="shared" si="3"/>
        <v>1044</v>
      </c>
      <c r="I93" s="20" t="str">
        <f>IF(AND(A93&gt;='Campaign Metadata'!$B$2,A93&lt;='Campaign Metadata'!$C$2),"CybertruckLaunch",
IF(AND(A93&gt;='Campaign Metadata'!$B$3,A93&lt;='Campaign Metadata'!$C$3),"ModelYCampaign",
IF(AND(A93&gt;='Campaign Metadata'!$B$4,A93&lt;='Campaign Metadata'!$C$4),"FSDUpdate",
IF(AND(A93&gt;='Campaign Metadata'!$B$5,A93&lt;='Campaign Metadata'!$C$5),"SustainabilityDrive","No Campaign"))))</f>
        <v>No Campaign</v>
      </c>
      <c r="J93" s="33">
        <f t="shared" si="4"/>
        <v>4.0317597627286209E-3</v>
      </c>
    </row>
    <row r="94" spans="1:10" ht="15.75" customHeight="1" x14ac:dyDescent="0.3">
      <c r="A94" s="10" t="s">
        <v>109</v>
      </c>
      <c r="B94" s="2" t="s">
        <v>3</v>
      </c>
      <c r="C94" s="9">
        <v>1075</v>
      </c>
      <c r="D94" s="9">
        <v>173</v>
      </c>
      <c r="E94" s="9">
        <v>51395</v>
      </c>
      <c r="F94" s="8">
        <v>4.66</v>
      </c>
      <c r="G94" s="9">
        <v>47812</v>
      </c>
      <c r="H94" s="3">
        <f t="shared" si="3"/>
        <v>902</v>
      </c>
      <c r="I94" s="20" t="str">
        <f>IF(AND(A94&gt;='Campaign Metadata'!$B$2,A94&lt;='Campaign Metadata'!$C$2),"CybertruckLaunch",
IF(AND(A94&gt;='Campaign Metadata'!$B$3,A94&lt;='Campaign Metadata'!$C$3),"ModelYCampaign",
IF(AND(A94&gt;='Campaign Metadata'!$B$4,A94&lt;='Campaign Metadata'!$C$4),"FSDUpdate",
IF(AND(A94&gt;='Campaign Metadata'!$B$5,A94&lt;='Campaign Metadata'!$C$5),"SustainabilityDrive","No Campaign"))))</f>
        <v>No Campaign</v>
      </c>
      <c r="J94" s="33">
        <f t="shared" si="4"/>
        <v>1.7550345364335054E-2</v>
      </c>
    </row>
    <row r="95" spans="1:10" ht="15.75" customHeight="1" x14ac:dyDescent="0.3">
      <c r="A95" s="10" t="s">
        <v>109</v>
      </c>
      <c r="B95" s="2" t="s">
        <v>2</v>
      </c>
      <c r="C95" s="9">
        <v>171</v>
      </c>
      <c r="D95" s="9">
        <v>277</v>
      </c>
      <c r="E95" s="9">
        <v>309483</v>
      </c>
      <c r="F95" s="8">
        <v>8.6999999999999993</v>
      </c>
      <c r="G95" s="9">
        <v>38452</v>
      </c>
      <c r="H95" s="3">
        <f t="shared" si="3"/>
        <v>-106</v>
      </c>
      <c r="I95" s="20" t="str">
        <f>IF(AND(A95&gt;='Campaign Metadata'!$B$2,A95&lt;='Campaign Metadata'!$C$2),"CybertruckLaunch",
IF(AND(A95&gt;='Campaign Metadata'!$B$3,A95&lt;='Campaign Metadata'!$C$3),"ModelYCampaign",
IF(AND(A95&gt;='Campaign Metadata'!$B$4,A95&lt;='Campaign Metadata'!$C$4),"FSDUpdate",
IF(AND(A95&gt;='Campaign Metadata'!$B$5,A95&lt;='Campaign Metadata'!$C$5),"SustainabilityDrive","No Campaign"))))</f>
        <v>No Campaign</v>
      </c>
      <c r="J95" s="33">
        <f t="shared" si="4"/>
        <v>-3.4250669665215861E-4</v>
      </c>
    </row>
    <row r="96" spans="1:10" ht="15.75" customHeight="1" x14ac:dyDescent="0.3">
      <c r="A96" s="10" t="s">
        <v>109</v>
      </c>
      <c r="B96" s="2" t="s">
        <v>4</v>
      </c>
      <c r="C96" s="9">
        <v>1487</v>
      </c>
      <c r="D96" s="9">
        <v>337</v>
      </c>
      <c r="E96" s="9">
        <v>87305</v>
      </c>
      <c r="F96" s="8">
        <v>2.46</v>
      </c>
      <c r="G96" s="9">
        <v>30428</v>
      </c>
      <c r="H96" s="3">
        <f t="shared" si="3"/>
        <v>1150</v>
      </c>
      <c r="I96" s="20" t="str">
        <f>IF(AND(A96&gt;='Campaign Metadata'!$B$2,A96&lt;='Campaign Metadata'!$C$2),"CybertruckLaunch",
IF(AND(A96&gt;='Campaign Metadata'!$B$3,A96&lt;='Campaign Metadata'!$C$3),"ModelYCampaign",
IF(AND(A96&gt;='Campaign Metadata'!$B$4,A96&lt;='Campaign Metadata'!$C$4),"FSDUpdate",
IF(AND(A96&gt;='Campaign Metadata'!$B$5,A96&lt;='Campaign Metadata'!$C$5),"SustainabilityDrive","No Campaign"))))</f>
        <v>No Campaign</v>
      </c>
      <c r="J96" s="33">
        <f t="shared" si="4"/>
        <v>1.3172212358971423E-2</v>
      </c>
    </row>
    <row r="97" spans="1:10" ht="15.75" customHeight="1" x14ac:dyDescent="0.3">
      <c r="A97" s="10" t="s">
        <v>109</v>
      </c>
      <c r="B97" s="2" t="s">
        <v>5</v>
      </c>
      <c r="C97" s="9">
        <v>454</v>
      </c>
      <c r="D97" s="9">
        <v>105</v>
      </c>
      <c r="E97" s="9">
        <v>121091</v>
      </c>
      <c r="F97" s="8">
        <v>7.97</v>
      </c>
      <c r="G97" s="9">
        <v>9269</v>
      </c>
      <c r="H97" s="3">
        <f t="shared" si="3"/>
        <v>349</v>
      </c>
      <c r="I97" s="20" t="str">
        <f>IF(AND(A97&gt;='Campaign Metadata'!$B$2,A97&lt;='Campaign Metadata'!$C$2),"CybertruckLaunch",
IF(AND(A97&gt;='Campaign Metadata'!$B$3,A97&lt;='Campaign Metadata'!$C$3),"ModelYCampaign",
IF(AND(A97&gt;='Campaign Metadata'!$B$4,A97&lt;='Campaign Metadata'!$C$4),"FSDUpdate",
IF(AND(A97&gt;='Campaign Metadata'!$B$5,A97&lt;='Campaign Metadata'!$C$5),"SustainabilityDrive","No Campaign"))))</f>
        <v>No Campaign</v>
      </c>
      <c r="J97" s="33">
        <f t="shared" si="4"/>
        <v>2.8821299683708945E-3</v>
      </c>
    </row>
    <row r="98" spans="1:10" ht="15.75" customHeight="1" x14ac:dyDescent="0.3">
      <c r="A98" s="10" t="s">
        <v>110</v>
      </c>
      <c r="B98" s="2" t="s">
        <v>3</v>
      </c>
      <c r="C98" s="9">
        <v>187</v>
      </c>
      <c r="D98" s="9">
        <v>236</v>
      </c>
      <c r="E98" s="9">
        <v>51087</v>
      </c>
      <c r="F98" s="8">
        <v>9.41</v>
      </c>
      <c r="G98" s="9">
        <v>29533</v>
      </c>
      <c r="H98" s="3">
        <f t="shared" si="3"/>
        <v>-49</v>
      </c>
      <c r="I98" s="20" t="str">
        <f>IF(AND(A98&gt;='Campaign Metadata'!$B$2,A98&lt;='Campaign Metadata'!$C$2),"CybertruckLaunch",
IF(AND(A98&gt;='Campaign Metadata'!$B$3,A98&lt;='Campaign Metadata'!$C$3),"ModelYCampaign",
IF(AND(A98&gt;='Campaign Metadata'!$B$4,A98&lt;='Campaign Metadata'!$C$4),"FSDUpdate",
IF(AND(A98&gt;='Campaign Metadata'!$B$5,A98&lt;='Campaign Metadata'!$C$5),"SustainabilityDrive","No Campaign"))))</f>
        <v>No Campaign</v>
      </c>
      <c r="J98" s="33">
        <f t="shared" si="4"/>
        <v>-9.5914811987394058E-4</v>
      </c>
    </row>
    <row r="99" spans="1:10" ht="15.75" customHeight="1" x14ac:dyDescent="0.3">
      <c r="A99" s="10" t="s">
        <v>110</v>
      </c>
      <c r="B99" s="2" t="s">
        <v>2</v>
      </c>
      <c r="C99" s="9">
        <v>513</v>
      </c>
      <c r="D99" s="9">
        <v>441</v>
      </c>
      <c r="E99" s="9">
        <v>338847</v>
      </c>
      <c r="F99" s="8">
        <v>2.68</v>
      </c>
      <c r="G99" s="9">
        <v>39997</v>
      </c>
      <c r="H99" s="3">
        <f t="shared" si="3"/>
        <v>72</v>
      </c>
      <c r="I99" s="20" t="str">
        <f>IF(AND(A99&gt;='Campaign Metadata'!$B$2,A99&lt;='Campaign Metadata'!$C$2),"CybertruckLaunch",
IF(AND(A99&gt;='Campaign Metadata'!$B$3,A99&lt;='Campaign Metadata'!$C$3),"ModelYCampaign",
IF(AND(A99&gt;='Campaign Metadata'!$B$4,A99&lt;='Campaign Metadata'!$C$4),"FSDUpdate",
IF(AND(A99&gt;='Campaign Metadata'!$B$5,A99&lt;='Campaign Metadata'!$C$5),"SustainabilityDrive","No Campaign"))))</f>
        <v>No Campaign</v>
      </c>
      <c r="J99" s="33">
        <f t="shared" si="4"/>
        <v>2.1248528096751631E-4</v>
      </c>
    </row>
    <row r="100" spans="1:10" ht="15.75" customHeight="1" x14ac:dyDescent="0.3">
      <c r="A100" s="10" t="s">
        <v>110</v>
      </c>
      <c r="B100" s="2" t="s">
        <v>4</v>
      </c>
      <c r="C100" s="9">
        <v>628</v>
      </c>
      <c r="D100" s="9">
        <v>183</v>
      </c>
      <c r="E100" s="9">
        <v>487523</v>
      </c>
      <c r="F100" s="8">
        <v>7.32</v>
      </c>
      <c r="G100" s="9">
        <v>5391</v>
      </c>
      <c r="H100" s="3">
        <f t="shared" si="3"/>
        <v>445</v>
      </c>
      <c r="I100" s="20" t="str">
        <f>IF(AND(A100&gt;='Campaign Metadata'!$B$2,A100&lt;='Campaign Metadata'!$C$2),"CybertruckLaunch",
IF(AND(A100&gt;='Campaign Metadata'!$B$3,A100&lt;='Campaign Metadata'!$C$3),"ModelYCampaign",
IF(AND(A100&gt;='Campaign Metadata'!$B$4,A100&lt;='Campaign Metadata'!$C$4),"FSDUpdate",
IF(AND(A100&gt;='Campaign Metadata'!$B$5,A100&lt;='Campaign Metadata'!$C$5),"SustainabilityDrive","No Campaign"))))</f>
        <v>No Campaign</v>
      </c>
      <c r="J100" s="33">
        <f t="shared" si="4"/>
        <v>9.1277744844858602E-4</v>
      </c>
    </row>
    <row r="101" spans="1:10" ht="15.75" customHeight="1" x14ac:dyDescent="0.3">
      <c r="A101" s="10" t="s">
        <v>110</v>
      </c>
      <c r="B101" s="2" t="s">
        <v>5</v>
      </c>
      <c r="C101" s="9">
        <v>278</v>
      </c>
      <c r="D101" s="9">
        <v>218</v>
      </c>
      <c r="E101" s="9">
        <v>301695</v>
      </c>
      <c r="F101" s="8">
        <v>4.68</v>
      </c>
      <c r="G101" s="9">
        <v>22373</v>
      </c>
      <c r="H101" s="3">
        <f t="shared" si="3"/>
        <v>60</v>
      </c>
      <c r="I101" s="20" t="str">
        <f>IF(AND(A101&gt;='Campaign Metadata'!$B$2,A101&lt;='Campaign Metadata'!$C$2),"CybertruckLaunch",
IF(AND(A101&gt;='Campaign Metadata'!$B$3,A101&lt;='Campaign Metadata'!$C$3),"ModelYCampaign",
IF(AND(A101&gt;='Campaign Metadata'!$B$4,A101&lt;='Campaign Metadata'!$C$4),"FSDUpdate",
IF(AND(A101&gt;='Campaign Metadata'!$B$5,A101&lt;='Campaign Metadata'!$C$5),"SustainabilityDrive","No Campaign"))))</f>
        <v>No Campaign</v>
      </c>
      <c r="J101" s="33">
        <f t="shared" si="4"/>
        <v>1.9887634863023914E-4</v>
      </c>
    </row>
    <row r="102" spans="1:10" ht="15.75" customHeight="1" x14ac:dyDescent="0.3">
      <c r="A102" s="10" t="s">
        <v>111</v>
      </c>
      <c r="B102" s="2" t="s">
        <v>3</v>
      </c>
      <c r="C102" s="9">
        <v>1854</v>
      </c>
      <c r="D102" s="9">
        <v>161</v>
      </c>
      <c r="E102" s="9">
        <v>282466</v>
      </c>
      <c r="F102" s="8">
        <v>5.17</v>
      </c>
      <c r="G102" s="9">
        <v>1810</v>
      </c>
      <c r="H102" s="3">
        <f t="shared" si="3"/>
        <v>1693</v>
      </c>
      <c r="I102" s="20" t="str">
        <f>IF(AND(A102&gt;='Campaign Metadata'!$B$2,A102&lt;='Campaign Metadata'!$C$2),"CybertruckLaunch",
IF(AND(A102&gt;='Campaign Metadata'!$B$3,A102&lt;='Campaign Metadata'!$C$3),"ModelYCampaign",
IF(AND(A102&gt;='Campaign Metadata'!$B$4,A102&lt;='Campaign Metadata'!$C$4),"FSDUpdate",
IF(AND(A102&gt;='Campaign Metadata'!$B$5,A102&lt;='Campaign Metadata'!$C$5),"SustainabilityDrive","No Campaign"))))</f>
        <v>No Campaign</v>
      </c>
      <c r="J102" s="33">
        <f t="shared" si="4"/>
        <v>5.9936417126309005E-3</v>
      </c>
    </row>
    <row r="103" spans="1:10" ht="15.75" customHeight="1" x14ac:dyDescent="0.3">
      <c r="A103" s="10" t="s">
        <v>111</v>
      </c>
      <c r="B103" s="2" t="s">
        <v>2</v>
      </c>
      <c r="C103" s="9">
        <v>1710</v>
      </c>
      <c r="D103" s="9">
        <v>378</v>
      </c>
      <c r="E103" s="9">
        <v>336661</v>
      </c>
      <c r="F103" s="8">
        <v>6.2</v>
      </c>
      <c r="G103" s="9">
        <v>28498</v>
      </c>
      <c r="H103" s="3">
        <f t="shared" si="3"/>
        <v>1332</v>
      </c>
      <c r="I103" s="20" t="str">
        <f>IF(AND(A103&gt;='Campaign Metadata'!$B$2,A103&lt;='Campaign Metadata'!$C$2),"CybertruckLaunch",
IF(AND(A103&gt;='Campaign Metadata'!$B$3,A103&lt;='Campaign Metadata'!$C$3),"ModelYCampaign",
IF(AND(A103&gt;='Campaign Metadata'!$B$4,A103&lt;='Campaign Metadata'!$C$4),"FSDUpdate",
IF(AND(A103&gt;='Campaign Metadata'!$B$5,A103&lt;='Campaign Metadata'!$C$5),"SustainabilityDrive","No Campaign"))))</f>
        <v>No Campaign</v>
      </c>
      <c r="J103" s="33">
        <f t="shared" si="4"/>
        <v>3.9565022381564839E-3</v>
      </c>
    </row>
    <row r="104" spans="1:10" ht="15.75" customHeight="1" x14ac:dyDescent="0.3">
      <c r="A104" s="10" t="s">
        <v>111</v>
      </c>
      <c r="B104" s="2" t="s">
        <v>4</v>
      </c>
      <c r="C104" s="9">
        <v>330</v>
      </c>
      <c r="D104" s="9">
        <v>232</v>
      </c>
      <c r="E104" s="9">
        <v>88455</v>
      </c>
      <c r="F104" s="8">
        <v>2.69</v>
      </c>
      <c r="G104" s="9">
        <v>39530</v>
      </c>
      <c r="H104" s="3">
        <f t="shared" si="3"/>
        <v>98</v>
      </c>
      <c r="I104" s="20" t="str">
        <f>IF(AND(A104&gt;='Campaign Metadata'!$B$2,A104&lt;='Campaign Metadata'!$C$2),"CybertruckLaunch",
IF(AND(A104&gt;='Campaign Metadata'!$B$3,A104&lt;='Campaign Metadata'!$C$3),"ModelYCampaign",
IF(AND(A104&gt;='Campaign Metadata'!$B$4,A104&lt;='Campaign Metadata'!$C$4),"FSDUpdate",
IF(AND(A104&gt;='Campaign Metadata'!$B$5,A104&lt;='Campaign Metadata'!$C$5),"SustainabilityDrive","No Campaign"))))</f>
        <v>No Campaign</v>
      </c>
      <c r="J104" s="33">
        <f t="shared" si="4"/>
        <v>1.1079079758069075E-3</v>
      </c>
    </row>
    <row r="105" spans="1:10" ht="15.75" customHeight="1" x14ac:dyDescent="0.3">
      <c r="A105" s="10" t="s">
        <v>111</v>
      </c>
      <c r="B105" s="2" t="s">
        <v>5</v>
      </c>
      <c r="C105" s="9">
        <v>1293</v>
      </c>
      <c r="D105" s="9">
        <v>408</v>
      </c>
      <c r="E105" s="9">
        <v>62535</v>
      </c>
      <c r="F105" s="8">
        <v>8.9</v>
      </c>
      <c r="G105" s="9">
        <v>37876</v>
      </c>
      <c r="H105" s="3">
        <f t="shared" si="3"/>
        <v>885</v>
      </c>
      <c r="I105" s="20" t="str">
        <f>IF(AND(A105&gt;='Campaign Metadata'!$B$2,A105&lt;='Campaign Metadata'!$C$2),"CybertruckLaunch",
IF(AND(A105&gt;='Campaign Metadata'!$B$3,A105&lt;='Campaign Metadata'!$C$3),"ModelYCampaign",
IF(AND(A105&gt;='Campaign Metadata'!$B$4,A105&lt;='Campaign Metadata'!$C$4),"FSDUpdate",
IF(AND(A105&gt;='Campaign Metadata'!$B$5,A105&lt;='Campaign Metadata'!$C$5),"SustainabilityDrive","No Campaign"))))</f>
        <v>No Campaign</v>
      </c>
      <c r="J105" s="33">
        <f t="shared" si="4"/>
        <v>1.4152074838090669E-2</v>
      </c>
    </row>
    <row r="106" spans="1:10" ht="15.75" customHeight="1" x14ac:dyDescent="0.3">
      <c r="A106" s="10" t="s">
        <v>112</v>
      </c>
      <c r="B106" s="2" t="s">
        <v>3</v>
      </c>
      <c r="C106" s="9">
        <v>1696</v>
      </c>
      <c r="D106" s="9">
        <v>71</v>
      </c>
      <c r="E106" s="9">
        <v>421957</v>
      </c>
      <c r="F106" s="8">
        <v>3.79</v>
      </c>
      <c r="G106" s="9">
        <v>36103</v>
      </c>
      <c r="H106" s="3">
        <f t="shared" si="3"/>
        <v>1625</v>
      </c>
      <c r="I106" s="20" t="str">
        <f>IF(AND(A106&gt;='Campaign Metadata'!$B$2,A106&lt;='Campaign Metadata'!$C$2),"CybertruckLaunch",
IF(AND(A106&gt;='Campaign Metadata'!$B$3,A106&lt;='Campaign Metadata'!$C$3),"ModelYCampaign",
IF(AND(A106&gt;='Campaign Metadata'!$B$4,A106&lt;='Campaign Metadata'!$C$4),"FSDUpdate",
IF(AND(A106&gt;='Campaign Metadata'!$B$5,A106&lt;='Campaign Metadata'!$C$5),"SustainabilityDrive","No Campaign"))))</f>
        <v>No Campaign</v>
      </c>
      <c r="J106" s="33">
        <f t="shared" si="4"/>
        <v>3.8511033114748661E-3</v>
      </c>
    </row>
    <row r="107" spans="1:10" ht="15.75" customHeight="1" x14ac:dyDescent="0.3">
      <c r="A107" s="10" t="s">
        <v>112</v>
      </c>
      <c r="B107" s="2" t="s">
        <v>2</v>
      </c>
      <c r="C107" s="9">
        <v>1902</v>
      </c>
      <c r="D107" s="9">
        <v>196</v>
      </c>
      <c r="E107" s="9">
        <v>470269</v>
      </c>
      <c r="F107" s="8">
        <v>4.79</v>
      </c>
      <c r="G107" s="9">
        <v>26103</v>
      </c>
      <c r="H107" s="3">
        <f t="shared" si="3"/>
        <v>1706</v>
      </c>
      <c r="I107" s="20" t="str">
        <f>IF(AND(A107&gt;='Campaign Metadata'!$B$2,A107&lt;='Campaign Metadata'!$C$2),"CybertruckLaunch",
IF(AND(A107&gt;='Campaign Metadata'!$B$3,A107&lt;='Campaign Metadata'!$C$3),"ModelYCampaign",
IF(AND(A107&gt;='Campaign Metadata'!$B$4,A107&lt;='Campaign Metadata'!$C$4),"FSDUpdate",
IF(AND(A107&gt;='Campaign Metadata'!$B$5,A107&lt;='Campaign Metadata'!$C$5),"SustainabilityDrive","No Campaign"))))</f>
        <v>No Campaign</v>
      </c>
      <c r="J107" s="33">
        <f t="shared" si="4"/>
        <v>3.6277109484146308E-3</v>
      </c>
    </row>
    <row r="108" spans="1:10" ht="15.75" customHeight="1" x14ac:dyDescent="0.3">
      <c r="A108" s="10" t="s">
        <v>112</v>
      </c>
      <c r="B108" s="2" t="s">
        <v>4</v>
      </c>
      <c r="C108" s="9">
        <v>1441</v>
      </c>
      <c r="D108" s="9">
        <v>268</v>
      </c>
      <c r="E108" s="9">
        <v>309904</v>
      </c>
      <c r="F108" s="8">
        <v>6.37</v>
      </c>
      <c r="G108" s="9">
        <v>3455</v>
      </c>
      <c r="H108" s="3">
        <f t="shared" si="3"/>
        <v>1173</v>
      </c>
      <c r="I108" s="20" t="str">
        <f>IF(AND(A108&gt;='Campaign Metadata'!$B$2,A108&lt;='Campaign Metadata'!$C$2),"CybertruckLaunch",
IF(AND(A108&gt;='Campaign Metadata'!$B$3,A108&lt;='Campaign Metadata'!$C$3),"ModelYCampaign",
IF(AND(A108&gt;='Campaign Metadata'!$B$4,A108&lt;='Campaign Metadata'!$C$4),"FSDUpdate",
IF(AND(A108&gt;='Campaign Metadata'!$B$5,A108&lt;='Campaign Metadata'!$C$5),"SustainabilityDrive","No Campaign"))))</f>
        <v>No Campaign</v>
      </c>
      <c r="J108" s="33">
        <f t="shared" si="4"/>
        <v>3.7850431101244257E-3</v>
      </c>
    </row>
    <row r="109" spans="1:10" ht="15.75" customHeight="1" x14ac:dyDescent="0.3">
      <c r="A109" s="10" t="s">
        <v>112</v>
      </c>
      <c r="B109" s="2" t="s">
        <v>5</v>
      </c>
      <c r="C109" s="9">
        <v>452</v>
      </c>
      <c r="D109" s="9">
        <v>161</v>
      </c>
      <c r="E109" s="9">
        <v>221274</v>
      </c>
      <c r="F109" s="8">
        <v>2.65</v>
      </c>
      <c r="G109" s="9">
        <v>40888</v>
      </c>
      <c r="H109" s="3">
        <f t="shared" si="3"/>
        <v>291</v>
      </c>
      <c r="I109" s="20" t="str">
        <f>IF(AND(A109&gt;='Campaign Metadata'!$B$2,A109&lt;='Campaign Metadata'!$C$2),"CybertruckLaunch",
IF(AND(A109&gt;='Campaign Metadata'!$B$3,A109&lt;='Campaign Metadata'!$C$3),"ModelYCampaign",
IF(AND(A109&gt;='Campaign Metadata'!$B$4,A109&lt;='Campaign Metadata'!$C$4),"FSDUpdate",
IF(AND(A109&gt;='Campaign Metadata'!$B$5,A109&lt;='Campaign Metadata'!$C$5),"SustainabilityDrive","No Campaign"))))</f>
        <v>No Campaign</v>
      </c>
      <c r="J109" s="33">
        <f t="shared" si="4"/>
        <v>1.3151115811166245E-3</v>
      </c>
    </row>
    <row r="110" spans="1:10" ht="15.75" customHeight="1" x14ac:dyDescent="0.3">
      <c r="A110" s="10" t="s">
        <v>113</v>
      </c>
      <c r="B110" s="2" t="s">
        <v>3</v>
      </c>
      <c r="C110" s="9">
        <v>1494</v>
      </c>
      <c r="D110" s="9">
        <v>375</v>
      </c>
      <c r="E110" s="9">
        <v>220616</v>
      </c>
      <c r="F110" s="8">
        <v>1.81</v>
      </c>
      <c r="G110" s="9">
        <v>22724</v>
      </c>
      <c r="H110" s="3">
        <f t="shared" si="3"/>
        <v>1119</v>
      </c>
      <c r="I110" s="20" t="str">
        <f>IF(AND(A110&gt;='Campaign Metadata'!$B$2,A110&lt;='Campaign Metadata'!$C$2),"CybertruckLaunch",
IF(AND(A110&gt;='Campaign Metadata'!$B$3,A110&lt;='Campaign Metadata'!$C$3),"ModelYCampaign",
IF(AND(A110&gt;='Campaign Metadata'!$B$4,A110&lt;='Campaign Metadata'!$C$4),"FSDUpdate",
IF(AND(A110&gt;='Campaign Metadata'!$B$5,A110&lt;='Campaign Metadata'!$C$5),"SustainabilityDrive","No Campaign"))))</f>
        <v>No Campaign</v>
      </c>
      <c r="J110" s="33">
        <f t="shared" si="4"/>
        <v>5.0721615839286359E-3</v>
      </c>
    </row>
    <row r="111" spans="1:10" ht="15.75" customHeight="1" x14ac:dyDescent="0.3">
      <c r="A111" s="10" t="s">
        <v>113</v>
      </c>
      <c r="B111" s="2" t="s">
        <v>2</v>
      </c>
      <c r="C111" s="9">
        <v>1514</v>
      </c>
      <c r="D111" s="9">
        <v>141</v>
      </c>
      <c r="E111" s="9">
        <v>35842</v>
      </c>
      <c r="F111" s="8">
        <v>7.47</v>
      </c>
      <c r="G111" s="9">
        <v>18601</v>
      </c>
      <c r="H111" s="3">
        <f t="shared" si="3"/>
        <v>1373</v>
      </c>
      <c r="I111" s="20" t="str">
        <f>IF(AND(A111&gt;='Campaign Metadata'!$B$2,A111&lt;='Campaign Metadata'!$C$2),"CybertruckLaunch",
IF(AND(A111&gt;='Campaign Metadata'!$B$3,A111&lt;='Campaign Metadata'!$C$3),"ModelYCampaign",
IF(AND(A111&gt;='Campaign Metadata'!$B$4,A111&lt;='Campaign Metadata'!$C$4),"FSDUpdate",
IF(AND(A111&gt;='Campaign Metadata'!$B$5,A111&lt;='Campaign Metadata'!$C$5),"SustainabilityDrive","No Campaign"))))</f>
        <v>No Campaign</v>
      </c>
      <c r="J111" s="33">
        <f t="shared" si="4"/>
        <v>3.8307014117515761E-2</v>
      </c>
    </row>
    <row r="112" spans="1:10" ht="15.75" customHeight="1" x14ac:dyDescent="0.3">
      <c r="A112" s="10" t="s">
        <v>113</v>
      </c>
      <c r="B112" s="2" t="s">
        <v>4</v>
      </c>
      <c r="C112" s="9">
        <v>1937</v>
      </c>
      <c r="D112" s="9">
        <v>210</v>
      </c>
      <c r="E112" s="9">
        <v>20607</v>
      </c>
      <c r="F112" s="8">
        <v>4.2</v>
      </c>
      <c r="G112" s="9">
        <v>20861</v>
      </c>
      <c r="H112" s="3">
        <f t="shared" si="3"/>
        <v>1727</v>
      </c>
      <c r="I112" s="20" t="str">
        <f>IF(AND(A112&gt;='Campaign Metadata'!$B$2,A112&lt;='Campaign Metadata'!$C$2),"CybertruckLaunch",
IF(AND(A112&gt;='Campaign Metadata'!$B$3,A112&lt;='Campaign Metadata'!$C$3),"ModelYCampaign",
IF(AND(A112&gt;='Campaign Metadata'!$B$4,A112&lt;='Campaign Metadata'!$C$4),"FSDUpdate",
IF(AND(A112&gt;='Campaign Metadata'!$B$5,A112&lt;='Campaign Metadata'!$C$5),"SustainabilityDrive","No Campaign"))))</f>
        <v>No Campaign</v>
      </c>
      <c r="J112" s="33">
        <f t="shared" si="4"/>
        <v>8.3806473528412681E-2</v>
      </c>
    </row>
    <row r="113" spans="1:10" ht="15.75" customHeight="1" x14ac:dyDescent="0.3">
      <c r="A113" s="10" t="s">
        <v>113</v>
      </c>
      <c r="B113" s="2" t="s">
        <v>5</v>
      </c>
      <c r="C113" s="9">
        <v>736</v>
      </c>
      <c r="D113" s="9">
        <v>163</v>
      </c>
      <c r="E113" s="9">
        <v>451894</v>
      </c>
      <c r="F113" s="8">
        <v>5.43</v>
      </c>
      <c r="G113" s="9">
        <v>46625</v>
      </c>
      <c r="H113" s="3">
        <f t="shared" si="3"/>
        <v>573</v>
      </c>
      <c r="I113" s="20" t="str">
        <f>IF(AND(A113&gt;='Campaign Metadata'!$B$2,A113&lt;='Campaign Metadata'!$C$2),"CybertruckLaunch",
IF(AND(A113&gt;='Campaign Metadata'!$B$3,A113&lt;='Campaign Metadata'!$C$3),"ModelYCampaign",
IF(AND(A113&gt;='Campaign Metadata'!$B$4,A113&lt;='Campaign Metadata'!$C$4),"FSDUpdate",
IF(AND(A113&gt;='Campaign Metadata'!$B$5,A113&lt;='Campaign Metadata'!$C$5),"SustainabilityDrive","No Campaign"))))</f>
        <v>No Campaign</v>
      </c>
      <c r="J113" s="33">
        <f t="shared" si="4"/>
        <v>1.2679964770499277E-3</v>
      </c>
    </row>
    <row r="114" spans="1:10" ht="15.75" customHeight="1" x14ac:dyDescent="0.3">
      <c r="A114" s="10" t="s">
        <v>114</v>
      </c>
      <c r="B114" s="2" t="s">
        <v>3</v>
      </c>
      <c r="C114" s="9">
        <v>1502</v>
      </c>
      <c r="D114" s="9">
        <v>70</v>
      </c>
      <c r="E114" s="9">
        <v>465553</v>
      </c>
      <c r="F114" s="8">
        <v>3.32</v>
      </c>
      <c r="G114" s="9">
        <v>20692</v>
      </c>
      <c r="H114" s="3">
        <f t="shared" si="3"/>
        <v>1432</v>
      </c>
      <c r="I114" s="20" t="str">
        <f>IF(AND(A114&gt;='Campaign Metadata'!$B$2,A114&lt;='Campaign Metadata'!$C$2),"CybertruckLaunch",
IF(AND(A114&gt;='Campaign Metadata'!$B$3,A114&lt;='Campaign Metadata'!$C$3),"ModelYCampaign",
IF(AND(A114&gt;='Campaign Metadata'!$B$4,A114&lt;='Campaign Metadata'!$C$4),"FSDUpdate",
IF(AND(A114&gt;='Campaign Metadata'!$B$5,A114&lt;='Campaign Metadata'!$C$5),"SustainabilityDrive","No Campaign"))))</f>
        <v>No Campaign</v>
      </c>
      <c r="J114" s="33">
        <f t="shared" si="4"/>
        <v>3.0759118725472716E-3</v>
      </c>
    </row>
    <row r="115" spans="1:10" ht="15.75" customHeight="1" x14ac:dyDescent="0.3">
      <c r="A115" s="10" t="s">
        <v>114</v>
      </c>
      <c r="B115" s="2" t="s">
        <v>2</v>
      </c>
      <c r="C115" s="9">
        <v>1623</v>
      </c>
      <c r="D115" s="9">
        <v>246</v>
      </c>
      <c r="E115" s="9">
        <v>415815</v>
      </c>
      <c r="F115" s="8">
        <v>8.11</v>
      </c>
      <c r="G115" s="9">
        <v>18656</v>
      </c>
      <c r="H115" s="3">
        <f t="shared" si="3"/>
        <v>1377</v>
      </c>
      <c r="I115" s="20" t="str">
        <f>IF(AND(A115&gt;='Campaign Metadata'!$B$2,A115&lt;='Campaign Metadata'!$C$2),"CybertruckLaunch",
IF(AND(A115&gt;='Campaign Metadata'!$B$3,A115&lt;='Campaign Metadata'!$C$3),"ModelYCampaign",
IF(AND(A115&gt;='Campaign Metadata'!$B$4,A115&lt;='Campaign Metadata'!$C$4),"FSDUpdate",
IF(AND(A115&gt;='Campaign Metadata'!$B$5,A115&lt;='Campaign Metadata'!$C$5),"SustainabilityDrive","No Campaign"))))</f>
        <v>No Campaign</v>
      </c>
      <c r="J115" s="33">
        <f t="shared" si="4"/>
        <v>3.311568846722701E-3</v>
      </c>
    </row>
    <row r="116" spans="1:10" ht="15.75" customHeight="1" x14ac:dyDescent="0.3">
      <c r="A116" s="10" t="s">
        <v>114</v>
      </c>
      <c r="B116" s="2" t="s">
        <v>4</v>
      </c>
      <c r="C116" s="9">
        <v>1592</v>
      </c>
      <c r="D116" s="9">
        <v>233</v>
      </c>
      <c r="E116" s="9">
        <v>327183</v>
      </c>
      <c r="F116" s="8">
        <v>6.66</v>
      </c>
      <c r="G116" s="9">
        <v>13316</v>
      </c>
      <c r="H116" s="3">
        <f t="shared" si="3"/>
        <v>1359</v>
      </c>
      <c r="I116" s="20" t="str">
        <f>IF(AND(A116&gt;='Campaign Metadata'!$B$2,A116&lt;='Campaign Metadata'!$C$2),"CybertruckLaunch",
IF(AND(A116&gt;='Campaign Metadata'!$B$3,A116&lt;='Campaign Metadata'!$C$3),"ModelYCampaign",
IF(AND(A116&gt;='Campaign Metadata'!$B$4,A116&lt;='Campaign Metadata'!$C$4),"FSDUpdate",
IF(AND(A116&gt;='Campaign Metadata'!$B$5,A116&lt;='Campaign Metadata'!$C$5),"SustainabilityDrive","No Campaign"))))</f>
        <v>No Campaign</v>
      </c>
      <c r="J116" s="33">
        <f t="shared" si="4"/>
        <v>4.1536387893013997E-3</v>
      </c>
    </row>
    <row r="117" spans="1:10" ht="15.75" customHeight="1" x14ac:dyDescent="0.3">
      <c r="A117" s="10" t="s">
        <v>114</v>
      </c>
      <c r="B117" s="2" t="s">
        <v>5</v>
      </c>
      <c r="C117" s="9">
        <v>1004</v>
      </c>
      <c r="D117" s="9">
        <v>128</v>
      </c>
      <c r="E117" s="9">
        <v>488901</v>
      </c>
      <c r="F117" s="8">
        <v>8.09</v>
      </c>
      <c r="G117" s="9">
        <v>49558</v>
      </c>
      <c r="H117" s="3">
        <f t="shared" si="3"/>
        <v>876</v>
      </c>
      <c r="I117" s="20" t="str">
        <f>IF(AND(A117&gt;='Campaign Metadata'!$B$2,A117&lt;='Campaign Metadata'!$C$2),"CybertruckLaunch",
IF(AND(A117&gt;='Campaign Metadata'!$B$3,A117&lt;='Campaign Metadata'!$C$3),"ModelYCampaign",
IF(AND(A117&gt;='Campaign Metadata'!$B$4,A117&lt;='Campaign Metadata'!$C$4),"FSDUpdate",
IF(AND(A117&gt;='Campaign Metadata'!$B$5,A117&lt;='Campaign Metadata'!$C$5),"SustainabilityDrive","No Campaign"))))</f>
        <v>No Campaign</v>
      </c>
      <c r="J117" s="33">
        <f t="shared" si="4"/>
        <v>1.7917737946946315E-3</v>
      </c>
    </row>
    <row r="118" spans="1:10" ht="15.75" customHeight="1" x14ac:dyDescent="0.3">
      <c r="A118" s="10" t="s">
        <v>115</v>
      </c>
      <c r="B118" s="2" t="s">
        <v>3</v>
      </c>
      <c r="C118" s="9">
        <v>1092</v>
      </c>
      <c r="D118" s="9">
        <v>408</v>
      </c>
      <c r="E118" s="9">
        <v>280795</v>
      </c>
      <c r="F118" s="8">
        <v>8.44</v>
      </c>
      <c r="G118" s="9">
        <v>4683</v>
      </c>
      <c r="H118" s="3">
        <f t="shared" si="3"/>
        <v>684</v>
      </c>
      <c r="I118" s="20" t="str">
        <f>IF(AND(A118&gt;='Campaign Metadata'!$B$2,A118&lt;='Campaign Metadata'!$C$2),"CybertruckLaunch",
IF(AND(A118&gt;='Campaign Metadata'!$B$3,A118&lt;='Campaign Metadata'!$C$3),"ModelYCampaign",
IF(AND(A118&gt;='Campaign Metadata'!$B$4,A118&lt;='Campaign Metadata'!$C$4),"FSDUpdate",
IF(AND(A118&gt;='Campaign Metadata'!$B$5,A118&lt;='Campaign Metadata'!$C$5),"SustainabilityDrive","No Campaign"))))</f>
        <v>No Campaign</v>
      </c>
      <c r="J118" s="33">
        <f t="shared" si="4"/>
        <v>2.4359408109118751E-3</v>
      </c>
    </row>
    <row r="119" spans="1:10" ht="15.75" customHeight="1" x14ac:dyDescent="0.3">
      <c r="A119" s="10" t="s">
        <v>115</v>
      </c>
      <c r="B119" s="2" t="s">
        <v>2</v>
      </c>
      <c r="C119" s="9">
        <v>1155</v>
      </c>
      <c r="D119" s="9">
        <v>425</v>
      </c>
      <c r="E119" s="9">
        <v>93347</v>
      </c>
      <c r="F119" s="8">
        <v>2.02</v>
      </c>
      <c r="G119" s="9">
        <v>47502</v>
      </c>
      <c r="H119" s="3">
        <f t="shared" si="3"/>
        <v>730</v>
      </c>
      <c r="I119" s="20" t="str">
        <f>IF(AND(A119&gt;='Campaign Metadata'!$B$2,A119&lt;='Campaign Metadata'!$C$2),"CybertruckLaunch",
IF(AND(A119&gt;='Campaign Metadata'!$B$3,A119&lt;='Campaign Metadata'!$C$3),"ModelYCampaign",
IF(AND(A119&gt;='Campaign Metadata'!$B$4,A119&lt;='Campaign Metadata'!$C$4),"FSDUpdate",
IF(AND(A119&gt;='Campaign Metadata'!$B$5,A119&lt;='Campaign Metadata'!$C$5),"SustainabilityDrive","No Campaign"))))</f>
        <v>No Campaign</v>
      </c>
      <c r="J119" s="33">
        <f t="shared" si="4"/>
        <v>7.8202834584935772E-3</v>
      </c>
    </row>
    <row r="120" spans="1:10" ht="15.75" customHeight="1" x14ac:dyDescent="0.3">
      <c r="A120" s="10" t="s">
        <v>115</v>
      </c>
      <c r="B120" s="2" t="s">
        <v>4</v>
      </c>
      <c r="C120" s="9">
        <v>1137</v>
      </c>
      <c r="D120" s="9">
        <v>226</v>
      </c>
      <c r="E120" s="9">
        <v>81119</v>
      </c>
      <c r="F120" s="8">
        <v>7.74</v>
      </c>
      <c r="G120" s="9">
        <v>35359</v>
      </c>
      <c r="H120" s="3">
        <f t="shared" si="3"/>
        <v>911</v>
      </c>
      <c r="I120" s="20" t="str">
        <f>IF(AND(A120&gt;='Campaign Metadata'!$B$2,A120&lt;='Campaign Metadata'!$C$2),"CybertruckLaunch",
IF(AND(A120&gt;='Campaign Metadata'!$B$3,A120&lt;='Campaign Metadata'!$C$3),"ModelYCampaign",
IF(AND(A120&gt;='Campaign Metadata'!$B$4,A120&lt;='Campaign Metadata'!$C$4),"FSDUpdate",
IF(AND(A120&gt;='Campaign Metadata'!$B$5,A120&lt;='Campaign Metadata'!$C$5),"SustainabilityDrive","No Campaign"))))</f>
        <v>No Campaign</v>
      </c>
      <c r="J120" s="33">
        <f t="shared" si="4"/>
        <v>1.1230414576116569E-2</v>
      </c>
    </row>
    <row r="121" spans="1:10" ht="15.75" customHeight="1" x14ac:dyDescent="0.3">
      <c r="A121" s="10" t="s">
        <v>115</v>
      </c>
      <c r="B121" s="2" t="s">
        <v>5</v>
      </c>
      <c r="C121" s="9">
        <v>1900</v>
      </c>
      <c r="D121" s="9">
        <v>311</v>
      </c>
      <c r="E121" s="9">
        <v>25177</v>
      </c>
      <c r="F121" s="8">
        <v>2.89</v>
      </c>
      <c r="G121" s="9">
        <v>14154</v>
      </c>
      <c r="H121" s="3">
        <f t="shared" si="3"/>
        <v>1589</v>
      </c>
      <c r="I121" s="20" t="str">
        <f>IF(AND(A121&gt;='Campaign Metadata'!$B$2,A121&lt;='Campaign Metadata'!$C$2),"CybertruckLaunch",
IF(AND(A121&gt;='Campaign Metadata'!$B$3,A121&lt;='Campaign Metadata'!$C$3),"ModelYCampaign",
IF(AND(A121&gt;='Campaign Metadata'!$B$4,A121&lt;='Campaign Metadata'!$C$4),"FSDUpdate",
IF(AND(A121&gt;='Campaign Metadata'!$B$5,A121&lt;='Campaign Metadata'!$C$5),"SustainabilityDrive","No Campaign"))))</f>
        <v>No Campaign</v>
      </c>
      <c r="J121" s="33">
        <f t="shared" si="4"/>
        <v>6.3113158835445049E-2</v>
      </c>
    </row>
    <row r="122" spans="1:10" ht="15.75" customHeight="1" x14ac:dyDescent="0.3">
      <c r="A122" s="10" t="s">
        <v>117</v>
      </c>
      <c r="B122" s="2" t="s">
        <v>3</v>
      </c>
      <c r="C122" s="9">
        <v>1814</v>
      </c>
      <c r="D122" s="9">
        <v>49</v>
      </c>
      <c r="E122" s="9">
        <v>140804</v>
      </c>
      <c r="F122" s="8">
        <v>1.76</v>
      </c>
      <c r="G122" s="9">
        <v>4313</v>
      </c>
      <c r="H122" s="3">
        <f t="shared" si="3"/>
        <v>1765</v>
      </c>
      <c r="I122" s="20" t="str">
        <f>IF(AND(A122&gt;='Campaign Metadata'!$B$2,A122&lt;='Campaign Metadata'!$C$2),"CybertruckLaunch",
IF(AND(A122&gt;='Campaign Metadata'!$B$3,A122&lt;='Campaign Metadata'!$C$3),"ModelYCampaign",
IF(AND(A122&gt;='Campaign Metadata'!$B$4,A122&lt;='Campaign Metadata'!$C$4),"FSDUpdate",
IF(AND(A122&gt;='Campaign Metadata'!$B$5,A122&lt;='Campaign Metadata'!$C$5),"SustainabilityDrive","No Campaign"))))</f>
        <v>FSDUpdate</v>
      </c>
      <c r="J122" s="33">
        <f t="shared" si="4"/>
        <v>1.253515525127127E-2</v>
      </c>
    </row>
    <row r="123" spans="1:10" ht="15.75" customHeight="1" x14ac:dyDescent="0.3">
      <c r="A123" s="10" t="s">
        <v>117</v>
      </c>
      <c r="B123" s="2" t="s">
        <v>2</v>
      </c>
      <c r="C123" s="9">
        <v>1980</v>
      </c>
      <c r="D123" s="9">
        <v>204</v>
      </c>
      <c r="E123" s="9">
        <v>379431</v>
      </c>
      <c r="F123" s="8">
        <v>3.09</v>
      </c>
      <c r="G123" s="9">
        <v>25140</v>
      </c>
      <c r="H123" s="3">
        <f t="shared" si="3"/>
        <v>1776</v>
      </c>
      <c r="I123" s="20" t="str">
        <f>IF(AND(A123&gt;='Campaign Metadata'!$B$2,A123&lt;='Campaign Metadata'!$C$2),"CybertruckLaunch",
IF(AND(A123&gt;='Campaign Metadata'!$B$3,A123&lt;='Campaign Metadata'!$C$3),"ModelYCampaign",
IF(AND(A123&gt;='Campaign Metadata'!$B$4,A123&lt;='Campaign Metadata'!$C$4),"FSDUpdate",
IF(AND(A123&gt;='Campaign Metadata'!$B$5,A123&lt;='Campaign Metadata'!$C$5),"SustainabilityDrive","No Campaign"))))</f>
        <v>FSDUpdate</v>
      </c>
      <c r="J123" s="33">
        <f t="shared" si="4"/>
        <v>4.6806929323118035E-3</v>
      </c>
    </row>
    <row r="124" spans="1:10" ht="15.75" customHeight="1" x14ac:dyDescent="0.3">
      <c r="A124" s="10" t="s">
        <v>117</v>
      </c>
      <c r="B124" s="2" t="s">
        <v>4</v>
      </c>
      <c r="C124" s="9">
        <v>1786</v>
      </c>
      <c r="D124" s="9">
        <v>257</v>
      </c>
      <c r="E124" s="9">
        <v>274831</v>
      </c>
      <c r="F124" s="8">
        <v>4.68</v>
      </c>
      <c r="G124" s="9">
        <v>9118</v>
      </c>
      <c r="H124" s="3">
        <f t="shared" si="3"/>
        <v>1529</v>
      </c>
      <c r="I124" s="20" t="str">
        <f>IF(AND(A124&gt;='Campaign Metadata'!$B$2,A124&lt;='Campaign Metadata'!$C$2),"CybertruckLaunch",
IF(AND(A124&gt;='Campaign Metadata'!$B$3,A124&lt;='Campaign Metadata'!$C$3),"ModelYCampaign",
IF(AND(A124&gt;='Campaign Metadata'!$B$4,A124&lt;='Campaign Metadata'!$C$4),"FSDUpdate",
IF(AND(A124&gt;='Campaign Metadata'!$B$5,A124&lt;='Campaign Metadata'!$C$5),"SustainabilityDrive","No Campaign"))))</f>
        <v>FSDUpdate</v>
      </c>
      <c r="J124" s="33">
        <f t="shared" si="4"/>
        <v>5.5634189738421064E-3</v>
      </c>
    </row>
    <row r="125" spans="1:10" ht="15.75" customHeight="1" x14ac:dyDescent="0.3">
      <c r="A125" s="10" t="s">
        <v>117</v>
      </c>
      <c r="B125" s="2" t="s">
        <v>5</v>
      </c>
      <c r="C125" s="9">
        <v>1495</v>
      </c>
      <c r="D125" s="9">
        <v>35</v>
      </c>
      <c r="E125" s="9">
        <v>136845</v>
      </c>
      <c r="F125" s="8">
        <v>4.4800000000000004</v>
      </c>
      <c r="G125" s="9">
        <v>39931</v>
      </c>
      <c r="H125" s="3">
        <f t="shared" si="3"/>
        <v>1460</v>
      </c>
      <c r="I125" s="20" t="str">
        <f>IF(AND(A125&gt;='Campaign Metadata'!$B$2,A125&lt;='Campaign Metadata'!$C$2),"CybertruckLaunch",
IF(AND(A125&gt;='Campaign Metadata'!$B$3,A125&lt;='Campaign Metadata'!$C$3),"ModelYCampaign",
IF(AND(A125&gt;='Campaign Metadata'!$B$4,A125&lt;='Campaign Metadata'!$C$4),"FSDUpdate",
IF(AND(A125&gt;='Campaign Metadata'!$B$5,A125&lt;='Campaign Metadata'!$C$5),"SustainabilityDrive","No Campaign"))))</f>
        <v>FSDUpdate</v>
      </c>
      <c r="J125" s="33">
        <f t="shared" si="4"/>
        <v>1.0669005078738719E-2</v>
      </c>
    </row>
    <row r="126" spans="1:10" ht="15.75" customHeight="1" x14ac:dyDescent="0.3">
      <c r="A126" s="10" t="s">
        <v>118</v>
      </c>
      <c r="B126" s="2" t="s">
        <v>3</v>
      </c>
      <c r="C126" s="9">
        <v>1013</v>
      </c>
      <c r="D126" s="9">
        <v>110</v>
      </c>
      <c r="E126" s="9">
        <v>466382</v>
      </c>
      <c r="F126" s="8">
        <v>5.3</v>
      </c>
      <c r="G126" s="9">
        <v>37132</v>
      </c>
      <c r="H126" s="3">
        <f t="shared" si="3"/>
        <v>903</v>
      </c>
      <c r="I126" s="20" t="str">
        <f>IF(AND(A126&gt;='Campaign Metadata'!$B$2,A126&lt;='Campaign Metadata'!$C$2),"CybertruckLaunch",
IF(AND(A126&gt;='Campaign Metadata'!$B$3,A126&lt;='Campaign Metadata'!$C$3),"ModelYCampaign",
IF(AND(A126&gt;='Campaign Metadata'!$B$4,A126&lt;='Campaign Metadata'!$C$4),"FSDUpdate",
IF(AND(A126&gt;='Campaign Metadata'!$B$5,A126&lt;='Campaign Metadata'!$C$5),"SustainabilityDrive","No Campaign"))))</f>
        <v>FSDUpdate</v>
      </c>
      <c r="J126" s="33">
        <f t="shared" si="4"/>
        <v>1.9361810704529763E-3</v>
      </c>
    </row>
    <row r="127" spans="1:10" ht="15.75" customHeight="1" x14ac:dyDescent="0.3">
      <c r="A127" s="10" t="s">
        <v>118</v>
      </c>
      <c r="B127" s="2" t="s">
        <v>2</v>
      </c>
      <c r="C127" s="9">
        <v>816</v>
      </c>
      <c r="D127" s="9">
        <v>196</v>
      </c>
      <c r="E127" s="9">
        <v>95728</v>
      </c>
      <c r="F127" s="8">
        <v>8.1999999999999993</v>
      </c>
      <c r="G127" s="9">
        <v>17951</v>
      </c>
      <c r="H127" s="3">
        <f t="shared" si="3"/>
        <v>620</v>
      </c>
      <c r="I127" s="20" t="str">
        <f>IF(AND(A127&gt;='Campaign Metadata'!$B$2,A127&lt;='Campaign Metadata'!$C$2),"CybertruckLaunch",
IF(AND(A127&gt;='Campaign Metadata'!$B$3,A127&lt;='Campaign Metadata'!$C$3),"ModelYCampaign",
IF(AND(A127&gt;='Campaign Metadata'!$B$4,A127&lt;='Campaign Metadata'!$C$4),"FSDUpdate",
IF(AND(A127&gt;='Campaign Metadata'!$B$5,A127&lt;='Campaign Metadata'!$C$5),"SustainabilityDrive","No Campaign"))))</f>
        <v>FSDUpdate</v>
      </c>
      <c r="J127" s="33">
        <f t="shared" si="4"/>
        <v>6.4766839378238338E-3</v>
      </c>
    </row>
    <row r="128" spans="1:10" ht="15.75" customHeight="1" x14ac:dyDescent="0.3">
      <c r="A128" s="10" t="s">
        <v>118</v>
      </c>
      <c r="B128" s="2" t="s">
        <v>4</v>
      </c>
      <c r="C128" s="9">
        <v>1633</v>
      </c>
      <c r="D128" s="9">
        <v>445</v>
      </c>
      <c r="E128" s="9">
        <v>371156</v>
      </c>
      <c r="F128" s="8">
        <v>2.2200000000000002</v>
      </c>
      <c r="G128" s="9">
        <v>2798</v>
      </c>
      <c r="H128" s="3">
        <f t="shared" si="3"/>
        <v>1188</v>
      </c>
      <c r="I128" s="20" t="str">
        <f>IF(AND(A128&gt;='Campaign Metadata'!$B$2,A128&lt;='Campaign Metadata'!$C$2),"CybertruckLaunch",
IF(AND(A128&gt;='Campaign Metadata'!$B$3,A128&lt;='Campaign Metadata'!$C$3),"ModelYCampaign",
IF(AND(A128&gt;='Campaign Metadata'!$B$4,A128&lt;='Campaign Metadata'!$C$4),"FSDUpdate",
IF(AND(A128&gt;='Campaign Metadata'!$B$5,A128&lt;='Campaign Metadata'!$C$5),"SustainabilityDrive","No Campaign"))))</f>
        <v>FSDUpdate</v>
      </c>
      <c r="J128" s="33">
        <f t="shared" si="4"/>
        <v>3.2008104408927781E-3</v>
      </c>
    </row>
    <row r="129" spans="1:10" ht="15.75" customHeight="1" x14ac:dyDescent="0.3">
      <c r="A129" s="10" t="s">
        <v>118</v>
      </c>
      <c r="B129" s="2" t="s">
        <v>5</v>
      </c>
      <c r="C129" s="9">
        <v>891</v>
      </c>
      <c r="D129" s="9">
        <v>45</v>
      </c>
      <c r="E129" s="9">
        <v>95410</v>
      </c>
      <c r="F129" s="8">
        <v>8.33</v>
      </c>
      <c r="G129" s="9">
        <v>15045</v>
      </c>
      <c r="H129" s="3">
        <f t="shared" si="3"/>
        <v>846</v>
      </c>
      <c r="I129" s="20" t="str">
        <f>IF(AND(A129&gt;='Campaign Metadata'!$B$2,A129&lt;='Campaign Metadata'!$C$2),"CybertruckLaunch",
IF(AND(A129&gt;='Campaign Metadata'!$B$3,A129&lt;='Campaign Metadata'!$C$3),"ModelYCampaign",
IF(AND(A129&gt;='Campaign Metadata'!$B$4,A129&lt;='Campaign Metadata'!$C$4),"FSDUpdate",
IF(AND(A129&gt;='Campaign Metadata'!$B$5,A129&lt;='Campaign Metadata'!$C$5),"SustainabilityDrive","No Campaign"))))</f>
        <v>FSDUpdate</v>
      </c>
      <c r="J129" s="33">
        <f t="shared" si="4"/>
        <v>8.8669950738916262E-3</v>
      </c>
    </row>
    <row r="130" spans="1:10" ht="15.75" customHeight="1" x14ac:dyDescent="0.3">
      <c r="A130" s="10" t="s">
        <v>119</v>
      </c>
      <c r="B130" s="2" t="s">
        <v>3</v>
      </c>
      <c r="C130" s="9">
        <v>1855</v>
      </c>
      <c r="D130" s="9">
        <v>133</v>
      </c>
      <c r="E130" s="9">
        <v>349413</v>
      </c>
      <c r="F130" s="8">
        <v>3.3</v>
      </c>
      <c r="G130" s="9">
        <v>14548</v>
      </c>
      <c r="H130" s="3">
        <f t="shared" si="3"/>
        <v>1722</v>
      </c>
      <c r="I130" s="20" t="str">
        <f>IF(AND(A130&gt;='Campaign Metadata'!$B$2,A130&lt;='Campaign Metadata'!$C$2),"CybertruckLaunch",
IF(AND(A130&gt;='Campaign Metadata'!$B$3,A130&lt;='Campaign Metadata'!$C$3),"ModelYCampaign",
IF(AND(A130&gt;='Campaign Metadata'!$B$4,A130&lt;='Campaign Metadata'!$C$4),"FSDUpdate",
IF(AND(A130&gt;='Campaign Metadata'!$B$5,A130&lt;='Campaign Metadata'!$C$5),"SustainabilityDrive","No Campaign"))))</f>
        <v>No Campaign</v>
      </c>
      <c r="J130" s="33">
        <f t="shared" si="4"/>
        <v>4.9282654051223049E-3</v>
      </c>
    </row>
    <row r="131" spans="1:10" ht="15.75" customHeight="1" x14ac:dyDescent="0.3">
      <c r="A131" s="10" t="s">
        <v>119</v>
      </c>
      <c r="B131" s="2" t="s">
        <v>2</v>
      </c>
      <c r="C131" s="9">
        <v>651</v>
      </c>
      <c r="D131" s="9">
        <v>353</v>
      </c>
      <c r="E131" s="9">
        <v>224699</v>
      </c>
      <c r="F131" s="8">
        <v>5.61</v>
      </c>
      <c r="G131" s="9">
        <v>45708</v>
      </c>
      <c r="H131" s="3">
        <f t="shared" ref="H131:H194" si="5">C131-D131</f>
        <v>298</v>
      </c>
      <c r="I131" s="20" t="str">
        <f>IF(AND(A131&gt;='Campaign Metadata'!$B$2,A131&lt;='Campaign Metadata'!$C$2),"CybertruckLaunch",
IF(AND(A131&gt;='Campaign Metadata'!$B$3,A131&lt;='Campaign Metadata'!$C$3),"ModelYCampaign",
IF(AND(A131&gt;='Campaign Metadata'!$B$4,A131&lt;='Campaign Metadata'!$C$4),"FSDUpdate",
IF(AND(A131&gt;='Campaign Metadata'!$B$5,A131&lt;='Campaign Metadata'!$C$5),"SustainabilityDrive","No Campaign"))))</f>
        <v>No Campaign</v>
      </c>
      <c r="J131" s="33">
        <f t="shared" si="4"/>
        <v>1.3262186302564765E-3</v>
      </c>
    </row>
    <row r="132" spans="1:10" ht="15.75" customHeight="1" x14ac:dyDescent="0.3">
      <c r="A132" s="10" t="s">
        <v>119</v>
      </c>
      <c r="B132" s="2" t="s">
        <v>4</v>
      </c>
      <c r="C132" s="9">
        <v>118</v>
      </c>
      <c r="D132" s="9">
        <v>262</v>
      </c>
      <c r="E132" s="9">
        <v>487896</v>
      </c>
      <c r="F132" s="8">
        <v>2.56</v>
      </c>
      <c r="G132" s="9">
        <v>12350</v>
      </c>
      <c r="H132" s="3">
        <f t="shared" si="5"/>
        <v>-144</v>
      </c>
      <c r="I132" s="20" t="str">
        <f>IF(AND(A132&gt;='Campaign Metadata'!$B$2,A132&lt;='Campaign Metadata'!$C$2),"CybertruckLaunch",
IF(AND(A132&gt;='Campaign Metadata'!$B$3,A132&lt;='Campaign Metadata'!$C$3),"ModelYCampaign",
IF(AND(A132&gt;='Campaign Metadata'!$B$4,A132&lt;='Campaign Metadata'!$C$4),"FSDUpdate",
IF(AND(A132&gt;='Campaign Metadata'!$B$5,A132&lt;='Campaign Metadata'!$C$5),"SustainabilityDrive","No Campaign"))))</f>
        <v>No Campaign</v>
      </c>
      <c r="J132" s="33">
        <f t="shared" si="4"/>
        <v>-2.9514486693885583E-4</v>
      </c>
    </row>
    <row r="133" spans="1:10" ht="15.75" customHeight="1" x14ac:dyDescent="0.3">
      <c r="A133" s="10" t="s">
        <v>119</v>
      </c>
      <c r="B133" s="2" t="s">
        <v>5</v>
      </c>
      <c r="C133" s="9">
        <v>1331</v>
      </c>
      <c r="D133" s="9">
        <v>430</v>
      </c>
      <c r="E133" s="9">
        <v>14437</v>
      </c>
      <c r="F133" s="8">
        <v>3.29</v>
      </c>
      <c r="G133" s="9">
        <v>40868</v>
      </c>
      <c r="H133" s="3">
        <f t="shared" si="5"/>
        <v>901</v>
      </c>
      <c r="I133" s="20" t="str">
        <f>IF(AND(A133&gt;='Campaign Metadata'!$B$2,A133&lt;='Campaign Metadata'!$C$2),"CybertruckLaunch",
IF(AND(A133&gt;='Campaign Metadata'!$B$3,A133&lt;='Campaign Metadata'!$C$3),"ModelYCampaign",
IF(AND(A133&gt;='Campaign Metadata'!$B$4,A133&lt;='Campaign Metadata'!$C$4),"FSDUpdate",
IF(AND(A133&gt;='Campaign Metadata'!$B$5,A133&lt;='Campaign Metadata'!$C$5),"SustainabilityDrive","No Campaign"))))</f>
        <v>No Campaign</v>
      </c>
      <c r="J133" s="33">
        <f t="shared" si="4"/>
        <v>6.2409087760615087E-2</v>
      </c>
    </row>
    <row r="134" spans="1:10" ht="15.75" customHeight="1" x14ac:dyDescent="0.3">
      <c r="A134" s="10" t="s">
        <v>120</v>
      </c>
      <c r="B134" s="2" t="s">
        <v>3</v>
      </c>
      <c r="C134" s="9">
        <v>1748</v>
      </c>
      <c r="D134" s="9">
        <v>176</v>
      </c>
      <c r="E134" s="9">
        <v>383681</v>
      </c>
      <c r="F134" s="8">
        <v>9.24</v>
      </c>
      <c r="G134" s="9">
        <v>43122</v>
      </c>
      <c r="H134" s="3">
        <f t="shared" si="5"/>
        <v>1572</v>
      </c>
      <c r="I134" s="20" t="str">
        <f>IF(AND(A134&gt;='Campaign Metadata'!$B$2,A134&lt;='Campaign Metadata'!$C$2),"CybertruckLaunch",
IF(AND(A134&gt;='Campaign Metadata'!$B$3,A134&lt;='Campaign Metadata'!$C$3),"ModelYCampaign",
IF(AND(A134&gt;='Campaign Metadata'!$B$4,A134&lt;='Campaign Metadata'!$C$4),"FSDUpdate",
IF(AND(A134&gt;='Campaign Metadata'!$B$5,A134&lt;='Campaign Metadata'!$C$5),"SustainabilityDrive","No Campaign"))))</f>
        <v>No Campaign</v>
      </c>
      <c r="J134" s="33">
        <f t="shared" si="4"/>
        <v>4.0971536250166149E-3</v>
      </c>
    </row>
    <row r="135" spans="1:10" ht="15.75" customHeight="1" x14ac:dyDescent="0.3">
      <c r="A135" s="10" t="s">
        <v>120</v>
      </c>
      <c r="B135" s="2" t="s">
        <v>2</v>
      </c>
      <c r="C135" s="9">
        <v>663</v>
      </c>
      <c r="D135" s="9">
        <v>236</v>
      </c>
      <c r="E135" s="9">
        <v>479490</v>
      </c>
      <c r="F135" s="8">
        <v>4.51</v>
      </c>
      <c r="G135" s="9">
        <v>23853</v>
      </c>
      <c r="H135" s="3">
        <f t="shared" si="5"/>
        <v>427</v>
      </c>
      <c r="I135" s="20" t="str">
        <f>IF(AND(A135&gt;='Campaign Metadata'!$B$2,A135&lt;='Campaign Metadata'!$C$2),"CybertruckLaunch",
IF(AND(A135&gt;='Campaign Metadata'!$B$3,A135&lt;='Campaign Metadata'!$C$3),"ModelYCampaign",
IF(AND(A135&gt;='Campaign Metadata'!$B$4,A135&lt;='Campaign Metadata'!$C$4),"FSDUpdate",
IF(AND(A135&gt;='Campaign Metadata'!$B$5,A135&lt;='Campaign Metadata'!$C$5),"SustainabilityDrive","No Campaign"))))</f>
        <v>No Campaign</v>
      </c>
      <c r="J135" s="33">
        <f t="shared" si="4"/>
        <v>8.9052952094934197E-4</v>
      </c>
    </row>
    <row r="136" spans="1:10" ht="15.75" customHeight="1" x14ac:dyDescent="0.3">
      <c r="A136" s="10" t="s">
        <v>120</v>
      </c>
      <c r="B136" s="2" t="s">
        <v>4</v>
      </c>
      <c r="C136" s="9">
        <v>1040</v>
      </c>
      <c r="D136" s="9">
        <v>149</v>
      </c>
      <c r="E136" s="9">
        <v>124404</v>
      </c>
      <c r="F136" s="8">
        <v>5.23</v>
      </c>
      <c r="G136" s="9">
        <v>45380</v>
      </c>
      <c r="H136" s="3">
        <f t="shared" si="5"/>
        <v>891</v>
      </c>
      <c r="I136" s="20" t="str">
        <f>IF(AND(A136&gt;='Campaign Metadata'!$B$2,A136&lt;='Campaign Metadata'!$C$2),"CybertruckLaunch",
IF(AND(A136&gt;='Campaign Metadata'!$B$3,A136&lt;='Campaign Metadata'!$C$3),"ModelYCampaign",
IF(AND(A136&gt;='Campaign Metadata'!$B$4,A136&lt;='Campaign Metadata'!$C$4),"FSDUpdate",
IF(AND(A136&gt;='Campaign Metadata'!$B$5,A136&lt;='Campaign Metadata'!$C$5),"SustainabilityDrive","No Campaign"))))</f>
        <v>No Campaign</v>
      </c>
      <c r="J136" s="33">
        <f t="shared" si="4"/>
        <v>7.1621491270377159E-3</v>
      </c>
    </row>
    <row r="137" spans="1:10" ht="15.75" customHeight="1" x14ac:dyDescent="0.3">
      <c r="A137" s="10" t="s">
        <v>120</v>
      </c>
      <c r="B137" s="2" t="s">
        <v>5</v>
      </c>
      <c r="C137" s="9">
        <v>1166</v>
      </c>
      <c r="D137" s="9">
        <v>442</v>
      </c>
      <c r="E137" s="9">
        <v>336949</v>
      </c>
      <c r="F137" s="8">
        <v>4.68</v>
      </c>
      <c r="G137" s="9">
        <v>7705</v>
      </c>
      <c r="H137" s="3">
        <f t="shared" si="5"/>
        <v>724</v>
      </c>
      <c r="I137" s="20" t="str">
        <f>IF(AND(A137&gt;='Campaign Metadata'!$B$2,A137&lt;='Campaign Metadata'!$C$2),"CybertruckLaunch",
IF(AND(A137&gt;='Campaign Metadata'!$B$3,A137&lt;='Campaign Metadata'!$C$3),"ModelYCampaign",
IF(AND(A137&gt;='Campaign Metadata'!$B$4,A137&lt;='Campaign Metadata'!$C$4),"FSDUpdate",
IF(AND(A137&gt;='Campaign Metadata'!$B$5,A137&lt;='Campaign Metadata'!$C$5),"SustainabilityDrive","No Campaign"))))</f>
        <v>No Campaign</v>
      </c>
      <c r="J137" s="33">
        <f t="shared" si="4"/>
        <v>2.1486931256659019E-3</v>
      </c>
    </row>
    <row r="138" spans="1:10" ht="15.75" customHeight="1" x14ac:dyDescent="0.3">
      <c r="A138" s="10" t="s">
        <v>121</v>
      </c>
      <c r="B138" s="2" t="s">
        <v>3</v>
      </c>
      <c r="C138" s="9">
        <v>115</v>
      </c>
      <c r="D138" s="9">
        <v>281</v>
      </c>
      <c r="E138" s="9">
        <v>357265</v>
      </c>
      <c r="F138" s="8">
        <v>9.23</v>
      </c>
      <c r="G138" s="9">
        <v>25525</v>
      </c>
      <c r="H138" s="3">
        <f t="shared" si="5"/>
        <v>-166</v>
      </c>
      <c r="I138" s="20" t="str">
        <f>IF(AND(A138&gt;='Campaign Metadata'!$B$2,A138&lt;='Campaign Metadata'!$C$2),"CybertruckLaunch",
IF(AND(A138&gt;='Campaign Metadata'!$B$3,A138&lt;='Campaign Metadata'!$C$3),"ModelYCampaign",
IF(AND(A138&gt;='Campaign Metadata'!$B$4,A138&lt;='Campaign Metadata'!$C$4),"FSDUpdate",
IF(AND(A138&gt;='Campaign Metadata'!$B$5,A138&lt;='Campaign Metadata'!$C$5),"SustainabilityDrive","No Campaign"))))</f>
        <v>No Campaign</v>
      </c>
      <c r="J138" s="33">
        <f t="shared" si="4"/>
        <v>-4.6464109274628077E-4</v>
      </c>
    </row>
    <row r="139" spans="1:10" ht="15.75" customHeight="1" x14ac:dyDescent="0.3">
      <c r="A139" s="10" t="s">
        <v>121</v>
      </c>
      <c r="B139" s="2" t="s">
        <v>2</v>
      </c>
      <c r="C139" s="9">
        <v>1249</v>
      </c>
      <c r="D139" s="9">
        <v>351</v>
      </c>
      <c r="E139" s="9">
        <v>321307</v>
      </c>
      <c r="F139" s="8">
        <v>6.37</v>
      </c>
      <c r="G139" s="9">
        <v>20560</v>
      </c>
      <c r="H139" s="3">
        <f t="shared" si="5"/>
        <v>898</v>
      </c>
      <c r="I139" s="20" t="str">
        <f>IF(AND(A139&gt;='Campaign Metadata'!$B$2,A139&lt;='Campaign Metadata'!$C$2),"CybertruckLaunch",
IF(AND(A139&gt;='Campaign Metadata'!$B$3,A139&lt;='Campaign Metadata'!$C$3),"ModelYCampaign",
IF(AND(A139&gt;='Campaign Metadata'!$B$4,A139&lt;='Campaign Metadata'!$C$4),"FSDUpdate",
IF(AND(A139&gt;='Campaign Metadata'!$B$5,A139&lt;='Campaign Metadata'!$C$5),"SustainabilityDrive","No Campaign"))))</f>
        <v>No Campaign</v>
      </c>
      <c r="J139" s="33">
        <f t="shared" si="4"/>
        <v>2.7948348464241365E-3</v>
      </c>
    </row>
    <row r="140" spans="1:10" ht="15.75" customHeight="1" x14ac:dyDescent="0.3">
      <c r="A140" s="10" t="s">
        <v>121</v>
      </c>
      <c r="B140" s="2" t="s">
        <v>4</v>
      </c>
      <c r="C140" s="9">
        <v>1501</v>
      </c>
      <c r="D140" s="9">
        <v>75</v>
      </c>
      <c r="E140" s="9">
        <v>262569</v>
      </c>
      <c r="F140" s="8">
        <v>2.0099999999999998</v>
      </c>
      <c r="G140" s="9">
        <v>19119</v>
      </c>
      <c r="H140" s="3">
        <f t="shared" si="5"/>
        <v>1426</v>
      </c>
      <c r="I140" s="20" t="str">
        <f>IF(AND(A140&gt;='Campaign Metadata'!$B$2,A140&lt;='Campaign Metadata'!$C$2),"CybertruckLaunch",
IF(AND(A140&gt;='Campaign Metadata'!$B$3,A140&lt;='Campaign Metadata'!$C$3),"ModelYCampaign",
IF(AND(A140&gt;='Campaign Metadata'!$B$4,A140&lt;='Campaign Metadata'!$C$4),"FSDUpdate",
IF(AND(A140&gt;='Campaign Metadata'!$B$5,A140&lt;='Campaign Metadata'!$C$5),"SustainabilityDrive","No Campaign"))))</f>
        <v>No Campaign</v>
      </c>
      <c r="J140" s="33">
        <f t="shared" si="4"/>
        <v>5.4309533874905263E-3</v>
      </c>
    </row>
    <row r="141" spans="1:10" ht="15.75" customHeight="1" x14ac:dyDescent="0.3">
      <c r="A141" s="10" t="s">
        <v>121</v>
      </c>
      <c r="B141" s="2" t="s">
        <v>5</v>
      </c>
      <c r="C141" s="9">
        <v>1411</v>
      </c>
      <c r="D141" s="9">
        <v>186</v>
      </c>
      <c r="E141" s="9">
        <v>461669</v>
      </c>
      <c r="F141" s="8">
        <v>3.72</v>
      </c>
      <c r="G141" s="9">
        <v>43999</v>
      </c>
      <c r="H141" s="3">
        <f t="shared" si="5"/>
        <v>1225</v>
      </c>
      <c r="I141" s="20" t="str">
        <f>IF(AND(A141&gt;='Campaign Metadata'!$B$2,A141&lt;='Campaign Metadata'!$C$2),"CybertruckLaunch",
IF(AND(A141&gt;='Campaign Metadata'!$B$3,A141&lt;='Campaign Metadata'!$C$3),"ModelYCampaign",
IF(AND(A141&gt;='Campaign Metadata'!$B$4,A141&lt;='Campaign Metadata'!$C$4),"FSDUpdate",
IF(AND(A141&gt;='Campaign Metadata'!$B$5,A141&lt;='Campaign Metadata'!$C$5),"SustainabilityDrive","No Campaign"))))</f>
        <v>No Campaign</v>
      </c>
      <c r="J141" s="33">
        <f t="shared" si="4"/>
        <v>2.6534161921203288E-3</v>
      </c>
    </row>
    <row r="142" spans="1:10" ht="15.75" customHeight="1" x14ac:dyDescent="0.3">
      <c r="A142" s="10" t="s">
        <v>122</v>
      </c>
      <c r="B142" s="2" t="s">
        <v>3</v>
      </c>
      <c r="C142" s="9">
        <v>1556</v>
      </c>
      <c r="D142" s="9">
        <v>476</v>
      </c>
      <c r="E142" s="9">
        <v>351556</v>
      </c>
      <c r="F142" s="8">
        <v>3.89</v>
      </c>
      <c r="G142" s="9">
        <v>10825</v>
      </c>
      <c r="H142" s="3">
        <f t="shared" si="5"/>
        <v>1080</v>
      </c>
      <c r="I142" s="20" t="str">
        <f>IF(AND(A142&gt;='Campaign Metadata'!$B$2,A142&lt;='Campaign Metadata'!$C$2),"CybertruckLaunch",
IF(AND(A142&gt;='Campaign Metadata'!$B$3,A142&lt;='Campaign Metadata'!$C$3),"ModelYCampaign",
IF(AND(A142&gt;='Campaign Metadata'!$B$4,A142&lt;='Campaign Metadata'!$C$4),"FSDUpdate",
IF(AND(A142&gt;='Campaign Metadata'!$B$5,A142&lt;='Campaign Metadata'!$C$5),"SustainabilityDrive","No Campaign"))))</f>
        <v>No Campaign</v>
      </c>
      <c r="J142" s="33">
        <f t="shared" si="4"/>
        <v>3.0720567989168156E-3</v>
      </c>
    </row>
    <row r="143" spans="1:10" ht="15.75" customHeight="1" x14ac:dyDescent="0.3">
      <c r="A143" s="10" t="s">
        <v>122</v>
      </c>
      <c r="B143" s="2" t="s">
        <v>2</v>
      </c>
      <c r="C143" s="9">
        <v>1159</v>
      </c>
      <c r="D143" s="9">
        <v>411</v>
      </c>
      <c r="E143" s="9">
        <v>135987</v>
      </c>
      <c r="F143" s="8">
        <v>8.6999999999999993</v>
      </c>
      <c r="G143" s="9">
        <v>40323</v>
      </c>
      <c r="H143" s="3">
        <f t="shared" si="5"/>
        <v>748</v>
      </c>
      <c r="I143" s="20" t="str">
        <f>IF(AND(A143&gt;='Campaign Metadata'!$B$2,A143&lt;='Campaign Metadata'!$C$2),"CybertruckLaunch",
IF(AND(A143&gt;='Campaign Metadata'!$B$3,A143&lt;='Campaign Metadata'!$C$3),"ModelYCampaign",
IF(AND(A143&gt;='Campaign Metadata'!$B$4,A143&lt;='Campaign Metadata'!$C$4),"FSDUpdate",
IF(AND(A143&gt;='Campaign Metadata'!$B$5,A143&lt;='Campaign Metadata'!$C$5),"SustainabilityDrive","No Campaign"))))</f>
        <v>No Campaign</v>
      </c>
      <c r="J143" s="33">
        <f t="shared" si="4"/>
        <v>5.5005257855530306E-3</v>
      </c>
    </row>
    <row r="144" spans="1:10" ht="15.75" customHeight="1" x14ac:dyDescent="0.3">
      <c r="A144" s="10" t="s">
        <v>122</v>
      </c>
      <c r="B144" s="2" t="s">
        <v>4</v>
      </c>
      <c r="C144" s="9">
        <v>927</v>
      </c>
      <c r="D144" s="9">
        <v>358</v>
      </c>
      <c r="E144" s="9">
        <v>177554</v>
      </c>
      <c r="F144" s="8">
        <v>6.95</v>
      </c>
      <c r="G144" s="9">
        <v>48270</v>
      </c>
      <c r="H144" s="3">
        <f t="shared" si="5"/>
        <v>569</v>
      </c>
      <c r="I144" s="20" t="str">
        <f>IF(AND(A144&gt;='Campaign Metadata'!$B$2,A144&lt;='Campaign Metadata'!$C$2),"CybertruckLaunch",
IF(AND(A144&gt;='Campaign Metadata'!$B$3,A144&lt;='Campaign Metadata'!$C$3),"ModelYCampaign",
IF(AND(A144&gt;='Campaign Metadata'!$B$4,A144&lt;='Campaign Metadata'!$C$4),"FSDUpdate",
IF(AND(A144&gt;='Campaign Metadata'!$B$5,A144&lt;='Campaign Metadata'!$C$5),"SustainabilityDrive","No Campaign"))))</f>
        <v>No Campaign</v>
      </c>
      <c r="J144" s="33">
        <f t="shared" si="4"/>
        <v>3.2046588643454949E-3</v>
      </c>
    </row>
    <row r="145" spans="1:10" ht="15.75" customHeight="1" x14ac:dyDescent="0.3">
      <c r="A145" s="10" t="s">
        <v>122</v>
      </c>
      <c r="B145" s="2" t="s">
        <v>5</v>
      </c>
      <c r="C145" s="9">
        <v>152</v>
      </c>
      <c r="D145" s="9">
        <v>355</v>
      </c>
      <c r="E145" s="9">
        <v>270766</v>
      </c>
      <c r="F145" s="8">
        <v>9.48</v>
      </c>
      <c r="G145" s="9">
        <v>18001</v>
      </c>
      <c r="H145" s="3">
        <f t="shared" si="5"/>
        <v>-203</v>
      </c>
      <c r="I145" s="20" t="str">
        <f>IF(AND(A145&gt;='Campaign Metadata'!$B$2,A145&lt;='Campaign Metadata'!$C$2),"CybertruckLaunch",
IF(AND(A145&gt;='Campaign Metadata'!$B$3,A145&lt;='Campaign Metadata'!$C$3),"ModelYCampaign",
IF(AND(A145&gt;='Campaign Metadata'!$B$4,A145&lt;='Campaign Metadata'!$C$4),"FSDUpdate",
IF(AND(A145&gt;='Campaign Metadata'!$B$5,A145&lt;='Campaign Metadata'!$C$5),"SustainabilityDrive","No Campaign"))))</f>
        <v>No Campaign</v>
      </c>
      <c r="J145" s="33">
        <f t="shared" si="4"/>
        <v>-7.4972485467156139E-4</v>
      </c>
    </row>
    <row r="146" spans="1:10" ht="15.75" customHeight="1" x14ac:dyDescent="0.3">
      <c r="A146" s="10" t="s">
        <v>123</v>
      </c>
      <c r="B146" s="2" t="s">
        <v>3</v>
      </c>
      <c r="C146" s="9">
        <v>1957</v>
      </c>
      <c r="D146" s="9">
        <v>234</v>
      </c>
      <c r="E146" s="9">
        <v>222126</v>
      </c>
      <c r="F146" s="8">
        <v>4.6100000000000003</v>
      </c>
      <c r="G146" s="9">
        <v>3314</v>
      </c>
      <c r="H146" s="3">
        <f t="shared" si="5"/>
        <v>1723</v>
      </c>
      <c r="I146" s="20" t="str">
        <f>IF(AND(A146&gt;='Campaign Metadata'!$B$2,A146&lt;='Campaign Metadata'!$C$2),"CybertruckLaunch",
IF(AND(A146&gt;='Campaign Metadata'!$B$3,A146&lt;='Campaign Metadata'!$C$3),"ModelYCampaign",
IF(AND(A146&gt;='Campaign Metadata'!$B$4,A146&lt;='Campaign Metadata'!$C$4),"FSDUpdate",
IF(AND(A146&gt;='Campaign Metadata'!$B$5,A146&lt;='Campaign Metadata'!$C$5),"SustainabilityDrive","No Campaign"))))</f>
        <v>No Campaign</v>
      </c>
      <c r="J146" s="33">
        <f t="shared" si="4"/>
        <v>7.7568587198256845E-3</v>
      </c>
    </row>
    <row r="147" spans="1:10" ht="15.75" customHeight="1" x14ac:dyDescent="0.3">
      <c r="A147" s="10" t="s">
        <v>123</v>
      </c>
      <c r="B147" s="2" t="s">
        <v>2</v>
      </c>
      <c r="C147" s="9">
        <v>1294</v>
      </c>
      <c r="D147" s="9">
        <v>382</v>
      </c>
      <c r="E147" s="9">
        <v>309914</v>
      </c>
      <c r="F147" s="8">
        <v>8.0299999999999994</v>
      </c>
      <c r="G147" s="9">
        <v>23489</v>
      </c>
      <c r="H147" s="3">
        <f t="shared" si="5"/>
        <v>912</v>
      </c>
      <c r="I147" s="20" t="str">
        <f>IF(AND(A147&gt;='Campaign Metadata'!$B$2,A147&lt;='Campaign Metadata'!$C$2),"CybertruckLaunch",
IF(AND(A147&gt;='Campaign Metadata'!$B$3,A147&lt;='Campaign Metadata'!$C$3),"ModelYCampaign",
IF(AND(A147&gt;='Campaign Metadata'!$B$4,A147&lt;='Campaign Metadata'!$C$4),"FSDUpdate",
IF(AND(A147&gt;='Campaign Metadata'!$B$5,A147&lt;='Campaign Metadata'!$C$5),"SustainabilityDrive","No Campaign"))))</f>
        <v>No Campaign</v>
      </c>
      <c r="J147" s="33">
        <f t="shared" ref="J147:J201" si="6">(C147-D147)/E147</f>
        <v>2.9427518601934728E-3</v>
      </c>
    </row>
    <row r="148" spans="1:10" ht="15.75" customHeight="1" x14ac:dyDescent="0.3">
      <c r="A148" s="10" t="s">
        <v>123</v>
      </c>
      <c r="B148" s="2" t="s">
        <v>4</v>
      </c>
      <c r="C148" s="9">
        <v>1587</v>
      </c>
      <c r="D148" s="9">
        <v>385</v>
      </c>
      <c r="E148" s="9">
        <v>126582</v>
      </c>
      <c r="F148" s="8">
        <v>6.99</v>
      </c>
      <c r="G148" s="9">
        <v>42832</v>
      </c>
      <c r="H148" s="3">
        <f t="shared" si="5"/>
        <v>1202</v>
      </c>
      <c r="I148" s="20" t="str">
        <f>IF(AND(A148&gt;='Campaign Metadata'!$B$2,A148&lt;='Campaign Metadata'!$C$2),"CybertruckLaunch",
IF(AND(A148&gt;='Campaign Metadata'!$B$3,A148&lt;='Campaign Metadata'!$C$3),"ModelYCampaign",
IF(AND(A148&gt;='Campaign Metadata'!$B$4,A148&lt;='Campaign Metadata'!$C$4),"FSDUpdate",
IF(AND(A148&gt;='Campaign Metadata'!$B$5,A148&lt;='Campaign Metadata'!$C$5),"SustainabilityDrive","No Campaign"))))</f>
        <v>No Campaign</v>
      </c>
      <c r="J148" s="33">
        <f t="shared" si="6"/>
        <v>9.4958208908059605E-3</v>
      </c>
    </row>
    <row r="149" spans="1:10" ht="15.75" customHeight="1" x14ac:dyDescent="0.3">
      <c r="A149" s="10" t="s">
        <v>123</v>
      </c>
      <c r="B149" s="2" t="s">
        <v>5</v>
      </c>
      <c r="C149" s="9">
        <v>1707</v>
      </c>
      <c r="D149" s="9">
        <v>263</v>
      </c>
      <c r="E149" s="9">
        <v>485280</v>
      </c>
      <c r="F149" s="8">
        <v>9.0299999999999994</v>
      </c>
      <c r="G149" s="9">
        <v>24494</v>
      </c>
      <c r="H149" s="3">
        <f t="shared" si="5"/>
        <v>1444</v>
      </c>
      <c r="I149" s="20" t="str">
        <f>IF(AND(A149&gt;='Campaign Metadata'!$B$2,A149&lt;='Campaign Metadata'!$C$2),"CybertruckLaunch",
IF(AND(A149&gt;='Campaign Metadata'!$B$3,A149&lt;='Campaign Metadata'!$C$3),"ModelYCampaign",
IF(AND(A149&gt;='Campaign Metadata'!$B$4,A149&lt;='Campaign Metadata'!$C$4),"FSDUpdate",
IF(AND(A149&gt;='Campaign Metadata'!$B$5,A149&lt;='Campaign Metadata'!$C$5),"SustainabilityDrive","No Campaign"))))</f>
        <v>No Campaign</v>
      </c>
      <c r="J149" s="33">
        <f t="shared" si="6"/>
        <v>2.9756017144741179E-3</v>
      </c>
    </row>
    <row r="150" spans="1:10" ht="15.75" customHeight="1" x14ac:dyDescent="0.3">
      <c r="A150" s="10" t="s">
        <v>124</v>
      </c>
      <c r="B150" s="2" t="s">
        <v>3</v>
      </c>
      <c r="C150" s="9">
        <v>1138</v>
      </c>
      <c r="D150" s="9">
        <v>173</v>
      </c>
      <c r="E150" s="9">
        <v>453243</v>
      </c>
      <c r="F150" s="8">
        <v>2.86</v>
      </c>
      <c r="G150" s="9">
        <v>44097</v>
      </c>
      <c r="H150" s="3">
        <f t="shared" si="5"/>
        <v>965</v>
      </c>
      <c r="I150" s="20" t="str">
        <f>IF(AND(A150&gt;='Campaign Metadata'!$B$2,A150&lt;='Campaign Metadata'!$C$2),"CybertruckLaunch",
IF(AND(A150&gt;='Campaign Metadata'!$B$3,A150&lt;='Campaign Metadata'!$C$3),"ModelYCampaign",
IF(AND(A150&gt;='Campaign Metadata'!$B$4,A150&lt;='Campaign Metadata'!$C$4),"FSDUpdate",
IF(AND(A150&gt;='Campaign Metadata'!$B$5,A150&lt;='Campaign Metadata'!$C$5),"SustainabilityDrive","No Campaign"))))</f>
        <v>No Campaign</v>
      </c>
      <c r="J150" s="33">
        <f t="shared" si="6"/>
        <v>2.1291007252180398E-3</v>
      </c>
    </row>
    <row r="151" spans="1:10" ht="15.75" customHeight="1" x14ac:dyDescent="0.3">
      <c r="A151" s="10" t="s">
        <v>124</v>
      </c>
      <c r="B151" s="2" t="s">
        <v>2</v>
      </c>
      <c r="C151" s="9">
        <v>1895</v>
      </c>
      <c r="D151" s="9">
        <v>305</v>
      </c>
      <c r="E151" s="9">
        <v>104967</v>
      </c>
      <c r="F151" s="8">
        <v>3.85</v>
      </c>
      <c r="G151" s="9">
        <v>31853</v>
      </c>
      <c r="H151" s="3">
        <f t="shared" si="5"/>
        <v>1590</v>
      </c>
      <c r="I151" s="20" t="str">
        <f>IF(AND(A151&gt;='Campaign Metadata'!$B$2,A151&lt;='Campaign Metadata'!$C$2),"CybertruckLaunch",
IF(AND(A151&gt;='Campaign Metadata'!$B$3,A151&lt;='Campaign Metadata'!$C$3),"ModelYCampaign",
IF(AND(A151&gt;='Campaign Metadata'!$B$4,A151&lt;='Campaign Metadata'!$C$4),"FSDUpdate",
IF(AND(A151&gt;='Campaign Metadata'!$B$5,A151&lt;='Campaign Metadata'!$C$5),"SustainabilityDrive","No Campaign"))))</f>
        <v>No Campaign</v>
      </c>
      <c r="J151" s="33">
        <f t="shared" si="6"/>
        <v>1.5147617822744291E-2</v>
      </c>
    </row>
    <row r="152" spans="1:10" ht="15.75" customHeight="1" x14ac:dyDescent="0.3">
      <c r="A152" s="10" t="s">
        <v>124</v>
      </c>
      <c r="B152" s="2" t="s">
        <v>4</v>
      </c>
      <c r="C152" s="9">
        <v>362</v>
      </c>
      <c r="D152" s="9">
        <v>399</v>
      </c>
      <c r="E152" s="9">
        <v>145608</v>
      </c>
      <c r="F152" s="8">
        <v>7.3</v>
      </c>
      <c r="G152" s="9">
        <v>37636</v>
      </c>
      <c r="H152" s="3">
        <f t="shared" si="5"/>
        <v>-37</v>
      </c>
      <c r="I152" s="20" t="str">
        <f>IF(AND(A152&gt;='Campaign Metadata'!$B$2,A152&lt;='Campaign Metadata'!$C$2),"CybertruckLaunch",
IF(AND(A152&gt;='Campaign Metadata'!$B$3,A152&lt;='Campaign Metadata'!$C$3),"ModelYCampaign",
IF(AND(A152&gt;='Campaign Metadata'!$B$4,A152&lt;='Campaign Metadata'!$C$4),"FSDUpdate",
IF(AND(A152&gt;='Campaign Metadata'!$B$5,A152&lt;='Campaign Metadata'!$C$5),"SustainabilityDrive","No Campaign"))))</f>
        <v>No Campaign</v>
      </c>
      <c r="J152" s="33">
        <f t="shared" si="6"/>
        <v>-2.5410691720235154E-4</v>
      </c>
    </row>
    <row r="153" spans="1:10" ht="15.75" customHeight="1" x14ac:dyDescent="0.3">
      <c r="A153" s="10" t="s">
        <v>124</v>
      </c>
      <c r="B153" s="2" t="s">
        <v>5</v>
      </c>
      <c r="C153" s="9">
        <v>1662</v>
      </c>
      <c r="D153" s="9">
        <v>487</v>
      </c>
      <c r="E153" s="9">
        <v>105980</v>
      </c>
      <c r="F153" s="8">
        <v>9.08</v>
      </c>
      <c r="G153" s="9">
        <v>22996</v>
      </c>
      <c r="H153" s="3">
        <f t="shared" si="5"/>
        <v>1175</v>
      </c>
      <c r="I153" s="20" t="str">
        <f>IF(AND(A153&gt;='Campaign Metadata'!$B$2,A153&lt;='Campaign Metadata'!$C$2),"CybertruckLaunch",
IF(AND(A153&gt;='Campaign Metadata'!$B$3,A153&lt;='Campaign Metadata'!$C$3),"ModelYCampaign",
IF(AND(A153&gt;='Campaign Metadata'!$B$4,A153&lt;='Campaign Metadata'!$C$4),"FSDUpdate",
IF(AND(A153&gt;='Campaign Metadata'!$B$5,A153&lt;='Campaign Metadata'!$C$5),"SustainabilityDrive","No Campaign"))))</f>
        <v>No Campaign</v>
      </c>
      <c r="J153" s="33">
        <f t="shared" si="6"/>
        <v>1.1086997546706926E-2</v>
      </c>
    </row>
    <row r="154" spans="1:10" ht="15.75" customHeight="1" x14ac:dyDescent="0.3">
      <c r="A154" s="10" t="s">
        <v>125</v>
      </c>
      <c r="B154" s="2" t="s">
        <v>3</v>
      </c>
      <c r="C154" s="9">
        <v>1440</v>
      </c>
      <c r="D154" s="9">
        <v>65</v>
      </c>
      <c r="E154" s="9">
        <v>126524</v>
      </c>
      <c r="F154" s="8">
        <v>4.34</v>
      </c>
      <c r="G154" s="9">
        <v>49772</v>
      </c>
      <c r="H154" s="3">
        <f t="shared" si="5"/>
        <v>1375</v>
      </c>
      <c r="I154" s="20" t="str">
        <f>IF(AND(A154&gt;='Campaign Metadata'!$B$2,A154&lt;='Campaign Metadata'!$C$2),"CybertruckLaunch",
IF(AND(A154&gt;='Campaign Metadata'!$B$3,A154&lt;='Campaign Metadata'!$C$3),"ModelYCampaign",
IF(AND(A154&gt;='Campaign Metadata'!$B$4,A154&lt;='Campaign Metadata'!$C$4),"FSDUpdate",
IF(AND(A154&gt;='Campaign Metadata'!$B$5,A154&lt;='Campaign Metadata'!$C$5),"SustainabilityDrive","No Campaign"))))</f>
        <v>No Campaign</v>
      </c>
      <c r="J154" s="33">
        <f t="shared" si="6"/>
        <v>1.0867503398564699E-2</v>
      </c>
    </row>
    <row r="155" spans="1:10" ht="15.75" customHeight="1" x14ac:dyDescent="0.3">
      <c r="A155" s="10" t="s">
        <v>125</v>
      </c>
      <c r="B155" s="2" t="s">
        <v>2</v>
      </c>
      <c r="C155" s="9">
        <v>1884</v>
      </c>
      <c r="D155" s="9">
        <v>177</v>
      </c>
      <c r="E155" s="9">
        <v>230448</v>
      </c>
      <c r="F155" s="8">
        <v>7.8</v>
      </c>
      <c r="G155" s="9">
        <v>22713</v>
      </c>
      <c r="H155" s="3">
        <f t="shared" si="5"/>
        <v>1707</v>
      </c>
      <c r="I155" s="20" t="str">
        <f>IF(AND(A155&gt;='Campaign Metadata'!$B$2,A155&lt;='Campaign Metadata'!$C$2),"CybertruckLaunch",
IF(AND(A155&gt;='Campaign Metadata'!$B$3,A155&lt;='Campaign Metadata'!$C$3),"ModelYCampaign",
IF(AND(A155&gt;='Campaign Metadata'!$B$4,A155&lt;='Campaign Metadata'!$C$4),"FSDUpdate",
IF(AND(A155&gt;='Campaign Metadata'!$B$5,A155&lt;='Campaign Metadata'!$C$5),"SustainabilityDrive","No Campaign"))))</f>
        <v>No Campaign</v>
      </c>
      <c r="J155" s="33">
        <f t="shared" si="6"/>
        <v>7.4073109768798169E-3</v>
      </c>
    </row>
    <row r="156" spans="1:10" ht="15.75" customHeight="1" x14ac:dyDescent="0.3">
      <c r="A156" s="10" t="s">
        <v>125</v>
      </c>
      <c r="B156" s="2" t="s">
        <v>4</v>
      </c>
      <c r="C156" s="9">
        <v>861</v>
      </c>
      <c r="D156" s="9">
        <v>153</v>
      </c>
      <c r="E156" s="9">
        <v>317007</v>
      </c>
      <c r="F156" s="8">
        <v>3.85</v>
      </c>
      <c r="G156" s="9">
        <v>8718</v>
      </c>
      <c r="H156" s="3">
        <f t="shared" si="5"/>
        <v>708</v>
      </c>
      <c r="I156" s="20" t="str">
        <f>IF(AND(A156&gt;='Campaign Metadata'!$B$2,A156&lt;='Campaign Metadata'!$C$2),"CybertruckLaunch",
IF(AND(A156&gt;='Campaign Metadata'!$B$3,A156&lt;='Campaign Metadata'!$C$3),"ModelYCampaign",
IF(AND(A156&gt;='Campaign Metadata'!$B$4,A156&lt;='Campaign Metadata'!$C$4),"FSDUpdate",
IF(AND(A156&gt;='Campaign Metadata'!$B$5,A156&lt;='Campaign Metadata'!$C$5),"SustainabilityDrive","No Campaign"))))</f>
        <v>No Campaign</v>
      </c>
      <c r="J156" s="33">
        <f t="shared" si="6"/>
        <v>2.2333891680625349E-3</v>
      </c>
    </row>
    <row r="157" spans="1:10" ht="15.75" customHeight="1" x14ac:dyDescent="0.3">
      <c r="A157" s="10" t="s">
        <v>125</v>
      </c>
      <c r="B157" s="2" t="s">
        <v>5</v>
      </c>
      <c r="C157" s="9">
        <v>1063</v>
      </c>
      <c r="D157" s="9">
        <v>47</v>
      </c>
      <c r="E157" s="9">
        <v>464239</v>
      </c>
      <c r="F157" s="8">
        <v>6.58</v>
      </c>
      <c r="G157" s="9">
        <v>39031</v>
      </c>
      <c r="H157" s="3">
        <f t="shared" si="5"/>
        <v>1016</v>
      </c>
      <c r="I157" s="20" t="str">
        <f>IF(AND(A157&gt;='Campaign Metadata'!$B$2,A157&lt;='Campaign Metadata'!$C$2),"CybertruckLaunch",
IF(AND(A157&gt;='Campaign Metadata'!$B$3,A157&lt;='Campaign Metadata'!$C$3),"ModelYCampaign",
IF(AND(A157&gt;='Campaign Metadata'!$B$4,A157&lt;='Campaign Metadata'!$C$4),"FSDUpdate",
IF(AND(A157&gt;='Campaign Metadata'!$B$5,A157&lt;='Campaign Metadata'!$C$5),"SustainabilityDrive","No Campaign"))))</f>
        <v>No Campaign</v>
      </c>
      <c r="J157" s="33">
        <f t="shared" si="6"/>
        <v>2.1885278918832756E-3</v>
      </c>
    </row>
    <row r="158" spans="1:10" ht="15.75" customHeight="1" x14ac:dyDescent="0.3">
      <c r="A158" s="10" t="s">
        <v>126</v>
      </c>
      <c r="B158" s="2" t="s">
        <v>3</v>
      </c>
      <c r="C158" s="9">
        <v>1371</v>
      </c>
      <c r="D158" s="9">
        <v>56</v>
      </c>
      <c r="E158" s="9">
        <v>257579</v>
      </c>
      <c r="F158" s="8">
        <v>8.6199999999999992</v>
      </c>
      <c r="G158" s="9">
        <v>33799</v>
      </c>
      <c r="H158" s="3">
        <f t="shared" si="5"/>
        <v>1315</v>
      </c>
      <c r="I158" s="20" t="str">
        <f>IF(AND(A158&gt;='Campaign Metadata'!$B$2,A158&lt;='Campaign Metadata'!$C$2),"CybertruckLaunch",
IF(AND(A158&gt;='Campaign Metadata'!$B$3,A158&lt;='Campaign Metadata'!$C$3),"ModelYCampaign",
IF(AND(A158&gt;='Campaign Metadata'!$B$4,A158&lt;='Campaign Metadata'!$C$4),"FSDUpdate",
IF(AND(A158&gt;='Campaign Metadata'!$B$5,A158&lt;='Campaign Metadata'!$C$5),"SustainabilityDrive","No Campaign"))))</f>
        <v>SustainabilityDrive</v>
      </c>
      <c r="J158" s="33">
        <f t="shared" si="6"/>
        <v>5.1052298518124532E-3</v>
      </c>
    </row>
    <row r="159" spans="1:10" ht="15.75" customHeight="1" x14ac:dyDescent="0.3">
      <c r="A159" s="10" t="s">
        <v>126</v>
      </c>
      <c r="B159" s="2" t="s">
        <v>2</v>
      </c>
      <c r="C159" s="9">
        <v>345</v>
      </c>
      <c r="D159" s="9">
        <v>464</v>
      </c>
      <c r="E159" s="9">
        <v>366881</v>
      </c>
      <c r="F159" s="8">
        <v>4.55</v>
      </c>
      <c r="G159" s="9">
        <v>20553</v>
      </c>
      <c r="H159" s="3">
        <f t="shared" si="5"/>
        <v>-119</v>
      </c>
      <c r="I159" s="20" t="str">
        <f>IF(AND(A159&gt;='Campaign Metadata'!$B$2,A159&lt;='Campaign Metadata'!$C$2),"CybertruckLaunch",
IF(AND(A159&gt;='Campaign Metadata'!$B$3,A159&lt;='Campaign Metadata'!$C$3),"ModelYCampaign",
IF(AND(A159&gt;='Campaign Metadata'!$B$4,A159&lt;='Campaign Metadata'!$C$4),"FSDUpdate",
IF(AND(A159&gt;='Campaign Metadata'!$B$5,A159&lt;='Campaign Metadata'!$C$5),"SustainabilityDrive","No Campaign"))))</f>
        <v>SustainabilityDrive</v>
      </c>
      <c r="J159" s="33">
        <f t="shared" si="6"/>
        <v>-3.2435585380545735E-4</v>
      </c>
    </row>
    <row r="160" spans="1:10" ht="15.75" customHeight="1" x14ac:dyDescent="0.3">
      <c r="A160" s="10" t="s">
        <v>126</v>
      </c>
      <c r="B160" s="2" t="s">
        <v>4</v>
      </c>
      <c r="C160" s="9">
        <v>946</v>
      </c>
      <c r="D160" s="9">
        <v>47</v>
      </c>
      <c r="E160" s="9">
        <v>466575</v>
      </c>
      <c r="F160" s="8">
        <v>8.33</v>
      </c>
      <c r="G160" s="9">
        <v>10002</v>
      </c>
      <c r="H160" s="3">
        <f t="shared" si="5"/>
        <v>899</v>
      </c>
      <c r="I160" s="20" t="str">
        <f>IF(AND(A160&gt;='Campaign Metadata'!$B$2,A160&lt;='Campaign Metadata'!$C$2),"CybertruckLaunch",
IF(AND(A160&gt;='Campaign Metadata'!$B$3,A160&lt;='Campaign Metadata'!$C$3),"ModelYCampaign",
IF(AND(A160&gt;='Campaign Metadata'!$B$4,A160&lt;='Campaign Metadata'!$C$4),"FSDUpdate",
IF(AND(A160&gt;='Campaign Metadata'!$B$5,A160&lt;='Campaign Metadata'!$C$5),"SustainabilityDrive","No Campaign"))))</f>
        <v>SustainabilityDrive</v>
      </c>
      <c r="J160" s="33">
        <f t="shared" si="6"/>
        <v>1.9268070513850934E-3</v>
      </c>
    </row>
    <row r="161" spans="1:10" ht="15.75" customHeight="1" x14ac:dyDescent="0.3">
      <c r="A161" s="10" t="s">
        <v>126</v>
      </c>
      <c r="B161" s="2" t="s">
        <v>5</v>
      </c>
      <c r="C161" s="9">
        <v>510</v>
      </c>
      <c r="D161" s="9">
        <v>195</v>
      </c>
      <c r="E161" s="9">
        <v>224534</v>
      </c>
      <c r="F161" s="8">
        <v>9.4</v>
      </c>
      <c r="G161" s="9">
        <v>30987</v>
      </c>
      <c r="H161" s="3">
        <f t="shared" si="5"/>
        <v>315</v>
      </c>
      <c r="I161" s="20" t="str">
        <f>IF(AND(A161&gt;='Campaign Metadata'!$B$2,A161&lt;='Campaign Metadata'!$C$2),"CybertruckLaunch",
IF(AND(A161&gt;='Campaign Metadata'!$B$3,A161&lt;='Campaign Metadata'!$C$3),"ModelYCampaign",
IF(AND(A161&gt;='Campaign Metadata'!$B$4,A161&lt;='Campaign Metadata'!$C$4),"FSDUpdate",
IF(AND(A161&gt;='Campaign Metadata'!$B$5,A161&lt;='Campaign Metadata'!$C$5),"SustainabilityDrive","No Campaign"))))</f>
        <v>SustainabilityDrive</v>
      </c>
      <c r="J161" s="33">
        <f t="shared" si="6"/>
        <v>1.4029055733207443E-3</v>
      </c>
    </row>
    <row r="162" spans="1:10" ht="15.75" customHeight="1" x14ac:dyDescent="0.3">
      <c r="A162" s="10" t="s">
        <v>127</v>
      </c>
      <c r="B162" s="2" t="s">
        <v>3</v>
      </c>
      <c r="C162" s="9">
        <v>393</v>
      </c>
      <c r="D162" s="9">
        <v>181</v>
      </c>
      <c r="E162" s="9">
        <v>462142</v>
      </c>
      <c r="F162" s="8">
        <v>7.23</v>
      </c>
      <c r="G162" s="9">
        <v>6296</v>
      </c>
      <c r="H162" s="3">
        <f t="shared" si="5"/>
        <v>212</v>
      </c>
      <c r="I162" s="20" t="str">
        <f>IF(AND(A162&gt;='Campaign Metadata'!$B$2,A162&lt;='Campaign Metadata'!$C$2),"CybertruckLaunch",
IF(AND(A162&gt;='Campaign Metadata'!$B$3,A162&lt;='Campaign Metadata'!$C$3),"ModelYCampaign",
IF(AND(A162&gt;='Campaign Metadata'!$B$4,A162&lt;='Campaign Metadata'!$C$4),"FSDUpdate",
IF(AND(A162&gt;='Campaign Metadata'!$B$5,A162&lt;='Campaign Metadata'!$C$5),"SustainabilityDrive","No Campaign"))))</f>
        <v>SustainabilityDrive</v>
      </c>
      <c r="J162" s="33">
        <f t="shared" si="6"/>
        <v>4.5873346287504706E-4</v>
      </c>
    </row>
    <row r="163" spans="1:10" ht="15.75" customHeight="1" x14ac:dyDescent="0.3">
      <c r="A163" s="10" t="s">
        <v>127</v>
      </c>
      <c r="B163" s="2" t="s">
        <v>2</v>
      </c>
      <c r="C163" s="9">
        <v>1098</v>
      </c>
      <c r="D163" s="9">
        <v>190</v>
      </c>
      <c r="E163" s="9">
        <v>340842</v>
      </c>
      <c r="F163" s="8">
        <v>9.39</v>
      </c>
      <c r="G163" s="9">
        <v>21539</v>
      </c>
      <c r="H163" s="3">
        <f t="shared" si="5"/>
        <v>908</v>
      </c>
      <c r="I163" s="20" t="str">
        <f>IF(AND(A163&gt;='Campaign Metadata'!$B$2,A163&lt;='Campaign Metadata'!$C$2),"CybertruckLaunch",
IF(AND(A163&gt;='Campaign Metadata'!$B$3,A163&lt;='Campaign Metadata'!$C$3),"ModelYCampaign",
IF(AND(A163&gt;='Campaign Metadata'!$B$4,A163&lt;='Campaign Metadata'!$C$4),"FSDUpdate",
IF(AND(A163&gt;='Campaign Metadata'!$B$5,A163&lt;='Campaign Metadata'!$C$5),"SustainabilityDrive","No Campaign"))))</f>
        <v>SustainabilityDrive</v>
      </c>
      <c r="J163" s="33">
        <f t="shared" si="6"/>
        <v>2.6639909400836752E-3</v>
      </c>
    </row>
    <row r="164" spans="1:10" ht="15.75" customHeight="1" x14ac:dyDescent="0.3">
      <c r="A164" s="10" t="s">
        <v>127</v>
      </c>
      <c r="B164" s="2" t="s">
        <v>4</v>
      </c>
      <c r="C164" s="9">
        <v>1399</v>
      </c>
      <c r="D164" s="9">
        <v>49</v>
      </c>
      <c r="E164" s="9">
        <v>12471</v>
      </c>
      <c r="F164" s="8">
        <v>5.12</v>
      </c>
      <c r="G164" s="9">
        <v>14722</v>
      </c>
      <c r="H164" s="3">
        <f t="shared" si="5"/>
        <v>1350</v>
      </c>
      <c r="I164" s="20" t="str">
        <f>IF(AND(A164&gt;='Campaign Metadata'!$B$2,A164&lt;='Campaign Metadata'!$C$2),"CybertruckLaunch",
IF(AND(A164&gt;='Campaign Metadata'!$B$3,A164&lt;='Campaign Metadata'!$C$3),"ModelYCampaign",
IF(AND(A164&gt;='Campaign Metadata'!$B$4,A164&lt;='Campaign Metadata'!$C$4),"FSDUpdate",
IF(AND(A164&gt;='Campaign Metadata'!$B$5,A164&lt;='Campaign Metadata'!$C$5),"SustainabilityDrive","No Campaign"))))</f>
        <v>SustainabilityDrive</v>
      </c>
      <c r="J164" s="33">
        <f t="shared" si="6"/>
        <v>0.10825114265095021</v>
      </c>
    </row>
    <row r="165" spans="1:10" ht="15.75" customHeight="1" x14ac:dyDescent="0.3">
      <c r="A165" s="10" t="s">
        <v>127</v>
      </c>
      <c r="B165" s="2" t="s">
        <v>5</v>
      </c>
      <c r="C165" s="9">
        <v>1658</v>
      </c>
      <c r="D165" s="9">
        <v>416</v>
      </c>
      <c r="E165" s="9">
        <v>98397</v>
      </c>
      <c r="F165" s="8">
        <v>6.11</v>
      </c>
      <c r="G165" s="9">
        <v>11383</v>
      </c>
      <c r="H165" s="3">
        <f t="shared" si="5"/>
        <v>1242</v>
      </c>
      <c r="I165" s="20" t="str">
        <f>IF(AND(A165&gt;='Campaign Metadata'!$B$2,A165&lt;='Campaign Metadata'!$C$2),"CybertruckLaunch",
IF(AND(A165&gt;='Campaign Metadata'!$B$3,A165&lt;='Campaign Metadata'!$C$3),"ModelYCampaign",
IF(AND(A165&gt;='Campaign Metadata'!$B$4,A165&lt;='Campaign Metadata'!$C$4),"FSDUpdate",
IF(AND(A165&gt;='Campaign Metadata'!$B$5,A165&lt;='Campaign Metadata'!$C$5),"SustainabilityDrive","No Campaign"))))</f>
        <v>SustainabilityDrive</v>
      </c>
      <c r="J165" s="33">
        <f t="shared" si="6"/>
        <v>1.2622336046830695E-2</v>
      </c>
    </row>
    <row r="166" spans="1:10" ht="15.75" customHeight="1" x14ac:dyDescent="0.3">
      <c r="A166" s="10" t="s">
        <v>128</v>
      </c>
      <c r="B166" s="2" t="s">
        <v>3</v>
      </c>
      <c r="C166" s="9">
        <v>1102</v>
      </c>
      <c r="D166" s="9">
        <v>422</v>
      </c>
      <c r="E166" s="9">
        <v>410330</v>
      </c>
      <c r="F166" s="8">
        <v>7.74</v>
      </c>
      <c r="G166" s="9">
        <v>9480</v>
      </c>
      <c r="H166" s="3">
        <f t="shared" si="5"/>
        <v>680</v>
      </c>
      <c r="I166" s="20" t="str">
        <f>IF(AND(A166&gt;='Campaign Metadata'!$B$2,A166&lt;='Campaign Metadata'!$C$2),"CybertruckLaunch",
IF(AND(A166&gt;='Campaign Metadata'!$B$3,A166&lt;='Campaign Metadata'!$C$3),"ModelYCampaign",
IF(AND(A166&gt;='Campaign Metadata'!$B$4,A166&lt;='Campaign Metadata'!$C$4),"FSDUpdate",
IF(AND(A166&gt;='Campaign Metadata'!$B$5,A166&lt;='Campaign Metadata'!$C$5),"SustainabilityDrive","No Campaign"))))</f>
        <v>SustainabilityDrive</v>
      </c>
      <c r="J166" s="33">
        <f t="shared" si="6"/>
        <v>1.6572027392586454E-3</v>
      </c>
    </row>
    <row r="167" spans="1:10" ht="15.75" customHeight="1" x14ac:dyDescent="0.3">
      <c r="A167" s="10" t="s">
        <v>128</v>
      </c>
      <c r="B167" s="2" t="s">
        <v>2</v>
      </c>
      <c r="C167" s="9">
        <v>1358</v>
      </c>
      <c r="D167" s="9">
        <v>242</v>
      </c>
      <c r="E167" s="9">
        <v>342129</v>
      </c>
      <c r="F167" s="8">
        <v>4.9400000000000004</v>
      </c>
      <c r="G167" s="9">
        <v>29116</v>
      </c>
      <c r="H167" s="3">
        <f t="shared" si="5"/>
        <v>1116</v>
      </c>
      <c r="I167" s="20" t="str">
        <f>IF(AND(A167&gt;='Campaign Metadata'!$B$2,A167&lt;='Campaign Metadata'!$C$2),"CybertruckLaunch",
IF(AND(A167&gt;='Campaign Metadata'!$B$3,A167&lt;='Campaign Metadata'!$C$3),"ModelYCampaign",
IF(AND(A167&gt;='Campaign Metadata'!$B$4,A167&lt;='Campaign Metadata'!$C$4),"FSDUpdate",
IF(AND(A167&gt;='Campaign Metadata'!$B$5,A167&lt;='Campaign Metadata'!$C$5),"SustainabilityDrive","No Campaign"))))</f>
        <v>SustainabilityDrive</v>
      </c>
      <c r="J167" s="33">
        <f t="shared" si="6"/>
        <v>3.2619275185675578E-3</v>
      </c>
    </row>
    <row r="168" spans="1:10" ht="15.75" customHeight="1" x14ac:dyDescent="0.3">
      <c r="A168" s="10" t="s">
        <v>128</v>
      </c>
      <c r="B168" s="2" t="s">
        <v>4</v>
      </c>
      <c r="C168" s="9">
        <v>1077</v>
      </c>
      <c r="D168" s="9">
        <v>216</v>
      </c>
      <c r="E168" s="9">
        <v>12447</v>
      </c>
      <c r="F168" s="8">
        <v>1.8</v>
      </c>
      <c r="G168" s="9">
        <v>14068</v>
      </c>
      <c r="H168" s="3">
        <f t="shared" si="5"/>
        <v>861</v>
      </c>
      <c r="I168" s="20" t="str">
        <f>IF(AND(A168&gt;='Campaign Metadata'!$B$2,A168&lt;='Campaign Metadata'!$C$2),"CybertruckLaunch",
IF(AND(A168&gt;='Campaign Metadata'!$B$3,A168&lt;='Campaign Metadata'!$C$3),"ModelYCampaign",
IF(AND(A168&gt;='Campaign Metadata'!$B$4,A168&lt;='Campaign Metadata'!$C$4),"FSDUpdate",
IF(AND(A168&gt;='Campaign Metadata'!$B$5,A168&lt;='Campaign Metadata'!$C$5),"SustainabilityDrive","No Campaign"))))</f>
        <v>SustainabilityDrive</v>
      </c>
      <c r="J168" s="33">
        <f t="shared" si="6"/>
        <v>6.9173294769824048E-2</v>
      </c>
    </row>
    <row r="169" spans="1:10" ht="15.75" customHeight="1" x14ac:dyDescent="0.3">
      <c r="A169" s="10" t="s">
        <v>128</v>
      </c>
      <c r="B169" s="2" t="s">
        <v>5</v>
      </c>
      <c r="C169" s="9">
        <v>1596</v>
      </c>
      <c r="D169" s="9">
        <v>211</v>
      </c>
      <c r="E169" s="9">
        <v>17380</v>
      </c>
      <c r="F169" s="8">
        <v>8.64</v>
      </c>
      <c r="G169" s="9">
        <v>35801</v>
      </c>
      <c r="H169" s="3">
        <f t="shared" si="5"/>
        <v>1385</v>
      </c>
      <c r="I169" s="20" t="str">
        <f>IF(AND(A169&gt;='Campaign Metadata'!$B$2,A169&lt;='Campaign Metadata'!$C$2),"CybertruckLaunch",
IF(AND(A169&gt;='Campaign Metadata'!$B$3,A169&lt;='Campaign Metadata'!$C$3),"ModelYCampaign",
IF(AND(A169&gt;='Campaign Metadata'!$B$4,A169&lt;='Campaign Metadata'!$C$4),"FSDUpdate",
IF(AND(A169&gt;='Campaign Metadata'!$B$5,A169&lt;='Campaign Metadata'!$C$5),"SustainabilityDrive","No Campaign"))))</f>
        <v>SustainabilityDrive</v>
      </c>
      <c r="J169" s="33">
        <f t="shared" si="6"/>
        <v>7.9689298043728429E-2</v>
      </c>
    </row>
    <row r="170" spans="1:10" ht="15.75" customHeight="1" x14ac:dyDescent="0.3">
      <c r="A170" s="10" t="s">
        <v>129</v>
      </c>
      <c r="B170" s="2" t="s">
        <v>3</v>
      </c>
      <c r="C170" s="9">
        <v>490</v>
      </c>
      <c r="D170" s="9">
        <v>29</v>
      </c>
      <c r="E170" s="9">
        <v>364810</v>
      </c>
      <c r="F170" s="8">
        <v>1.53</v>
      </c>
      <c r="G170" s="9">
        <v>49077</v>
      </c>
      <c r="H170" s="3">
        <f t="shared" si="5"/>
        <v>461</v>
      </c>
      <c r="I170" s="20" t="str">
        <f>IF(AND(A170&gt;='Campaign Metadata'!$B$2,A170&lt;='Campaign Metadata'!$C$2),"CybertruckLaunch",
IF(AND(A170&gt;='Campaign Metadata'!$B$3,A170&lt;='Campaign Metadata'!$C$3),"ModelYCampaign",
IF(AND(A170&gt;='Campaign Metadata'!$B$4,A170&lt;='Campaign Metadata'!$C$4),"FSDUpdate",
IF(AND(A170&gt;='Campaign Metadata'!$B$5,A170&lt;='Campaign Metadata'!$C$5),"SustainabilityDrive","No Campaign"))))</f>
        <v>SustainabilityDrive</v>
      </c>
      <c r="J170" s="33">
        <f t="shared" si="6"/>
        <v>1.2636715002329981E-3</v>
      </c>
    </row>
    <row r="171" spans="1:10" ht="15.75" customHeight="1" x14ac:dyDescent="0.3">
      <c r="A171" s="10" t="s">
        <v>129</v>
      </c>
      <c r="B171" s="2" t="s">
        <v>2</v>
      </c>
      <c r="C171" s="9">
        <v>609</v>
      </c>
      <c r="D171" s="9">
        <v>135</v>
      </c>
      <c r="E171" s="9">
        <v>373606</v>
      </c>
      <c r="F171" s="8">
        <v>8.52</v>
      </c>
      <c r="G171" s="9">
        <v>21453</v>
      </c>
      <c r="H171" s="3">
        <f t="shared" si="5"/>
        <v>474</v>
      </c>
      <c r="I171" s="20" t="str">
        <f>IF(AND(A171&gt;='Campaign Metadata'!$B$2,A171&lt;='Campaign Metadata'!$C$2),"CybertruckLaunch",
IF(AND(A171&gt;='Campaign Metadata'!$B$3,A171&lt;='Campaign Metadata'!$C$3),"ModelYCampaign",
IF(AND(A171&gt;='Campaign Metadata'!$B$4,A171&lt;='Campaign Metadata'!$C$4),"FSDUpdate",
IF(AND(A171&gt;='Campaign Metadata'!$B$5,A171&lt;='Campaign Metadata'!$C$5),"SustainabilityDrive","No Campaign"))))</f>
        <v>SustainabilityDrive</v>
      </c>
      <c r="J171" s="33">
        <f t="shared" si="6"/>
        <v>1.268716241173857E-3</v>
      </c>
    </row>
    <row r="172" spans="1:10" ht="15.75" customHeight="1" x14ac:dyDescent="0.3">
      <c r="A172" s="10" t="s">
        <v>129</v>
      </c>
      <c r="B172" s="2" t="s">
        <v>4</v>
      </c>
      <c r="C172" s="9">
        <v>364</v>
      </c>
      <c r="D172" s="9">
        <v>72</v>
      </c>
      <c r="E172" s="9">
        <v>211090</v>
      </c>
      <c r="F172" s="8">
        <v>5.53</v>
      </c>
      <c r="G172" s="9">
        <v>21061</v>
      </c>
      <c r="H172" s="3">
        <f t="shared" si="5"/>
        <v>292</v>
      </c>
      <c r="I172" s="20" t="str">
        <f>IF(AND(A172&gt;='Campaign Metadata'!$B$2,A172&lt;='Campaign Metadata'!$C$2),"CybertruckLaunch",
IF(AND(A172&gt;='Campaign Metadata'!$B$3,A172&lt;='Campaign Metadata'!$C$3),"ModelYCampaign",
IF(AND(A172&gt;='Campaign Metadata'!$B$4,A172&lt;='Campaign Metadata'!$C$4),"FSDUpdate",
IF(AND(A172&gt;='Campaign Metadata'!$B$5,A172&lt;='Campaign Metadata'!$C$5),"SustainabilityDrive","No Campaign"))))</f>
        <v>SustainabilityDrive</v>
      </c>
      <c r="J172" s="33">
        <f t="shared" si="6"/>
        <v>1.3832962243592781E-3</v>
      </c>
    </row>
    <row r="173" spans="1:10" ht="15.75" customHeight="1" x14ac:dyDescent="0.3">
      <c r="A173" s="10" t="s">
        <v>129</v>
      </c>
      <c r="B173" s="2" t="s">
        <v>5</v>
      </c>
      <c r="C173" s="9">
        <v>442</v>
      </c>
      <c r="D173" s="9">
        <v>53</v>
      </c>
      <c r="E173" s="9">
        <v>441931</v>
      </c>
      <c r="F173" s="8">
        <v>1.87</v>
      </c>
      <c r="G173" s="9">
        <v>20059</v>
      </c>
      <c r="H173" s="3">
        <f t="shared" si="5"/>
        <v>389</v>
      </c>
      <c r="I173" s="20" t="str">
        <f>IF(AND(A173&gt;='Campaign Metadata'!$B$2,A173&lt;='Campaign Metadata'!$C$2),"CybertruckLaunch",
IF(AND(A173&gt;='Campaign Metadata'!$B$3,A173&lt;='Campaign Metadata'!$C$3),"ModelYCampaign",
IF(AND(A173&gt;='Campaign Metadata'!$B$4,A173&lt;='Campaign Metadata'!$C$4),"FSDUpdate",
IF(AND(A173&gt;='Campaign Metadata'!$B$5,A173&lt;='Campaign Metadata'!$C$5),"SustainabilityDrive","No Campaign"))))</f>
        <v>SustainabilityDrive</v>
      </c>
      <c r="J173" s="33">
        <f t="shared" si="6"/>
        <v>8.8022790888170322E-4</v>
      </c>
    </row>
    <row r="174" spans="1:10" ht="15.75" customHeight="1" x14ac:dyDescent="0.3">
      <c r="A174" s="10" t="s">
        <v>130</v>
      </c>
      <c r="B174" s="2" t="s">
        <v>3</v>
      </c>
      <c r="C174" s="9">
        <v>1033</v>
      </c>
      <c r="D174" s="9">
        <v>392</v>
      </c>
      <c r="E174" s="9">
        <v>282780</v>
      </c>
      <c r="F174" s="8">
        <v>6.27</v>
      </c>
      <c r="G174" s="9">
        <v>23140</v>
      </c>
      <c r="H174" s="3">
        <f t="shared" si="5"/>
        <v>641</v>
      </c>
      <c r="I174" s="20" t="str">
        <f>IF(AND(A174&gt;='Campaign Metadata'!$B$2,A174&lt;='Campaign Metadata'!$C$2),"CybertruckLaunch",
IF(AND(A174&gt;='Campaign Metadata'!$B$3,A174&lt;='Campaign Metadata'!$C$3),"ModelYCampaign",
IF(AND(A174&gt;='Campaign Metadata'!$B$4,A174&lt;='Campaign Metadata'!$C$4),"FSDUpdate",
IF(AND(A174&gt;='Campaign Metadata'!$B$5,A174&lt;='Campaign Metadata'!$C$5),"SustainabilityDrive","No Campaign"))))</f>
        <v>SustainabilityDrive</v>
      </c>
      <c r="J174" s="33">
        <f t="shared" si="6"/>
        <v>2.2667798288422093E-3</v>
      </c>
    </row>
    <row r="175" spans="1:10" ht="15.75" customHeight="1" x14ac:dyDescent="0.3">
      <c r="A175" s="10" t="s">
        <v>130</v>
      </c>
      <c r="B175" s="2" t="s">
        <v>2</v>
      </c>
      <c r="C175" s="9">
        <v>988</v>
      </c>
      <c r="D175" s="9">
        <v>474</v>
      </c>
      <c r="E175" s="9">
        <v>370070</v>
      </c>
      <c r="F175" s="8">
        <v>9.4600000000000009</v>
      </c>
      <c r="G175" s="9">
        <v>23461</v>
      </c>
      <c r="H175" s="3">
        <f t="shared" si="5"/>
        <v>514</v>
      </c>
      <c r="I175" s="20" t="str">
        <f>IF(AND(A175&gt;='Campaign Metadata'!$B$2,A175&lt;='Campaign Metadata'!$C$2),"CybertruckLaunch",
IF(AND(A175&gt;='Campaign Metadata'!$B$3,A175&lt;='Campaign Metadata'!$C$3),"ModelYCampaign",
IF(AND(A175&gt;='Campaign Metadata'!$B$4,A175&lt;='Campaign Metadata'!$C$4),"FSDUpdate",
IF(AND(A175&gt;='Campaign Metadata'!$B$5,A175&lt;='Campaign Metadata'!$C$5),"SustainabilityDrive","No Campaign"))))</f>
        <v>SustainabilityDrive</v>
      </c>
      <c r="J175" s="33">
        <f t="shared" si="6"/>
        <v>1.3889264193260734E-3</v>
      </c>
    </row>
    <row r="176" spans="1:10" ht="15.75" customHeight="1" x14ac:dyDescent="0.3">
      <c r="A176" s="10" t="s">
        <v>130</v>
      </c>
      <c r="B176" s="2" t="s">
        <v>4</v>
      </c>
      <c r="C176" s="9">
        <v>1946</v>
      </c>
      <c r="D176" s="9">
        <v>270</v>
      </c>
      <c r="E176" s="9">
        <v>198350</v>
      </c>
      <c r="F176" s="8">
        <v>7.5</v>
      </c>
      <c r="G176" s="9">
        <v>11805</v>
      </c>
      <c r="H176" s="3">
        <f t="shared" si="5"/>
        <v>1676</v>
      </c>
      <c r="I176" s="20" t="str">
        <f>IF(AND(A176&gt;='Campaign Metadata'!$B$2,A176&lt;='Campaign Metadata'!$C$2),"CybertruckLaunch",
IF(AND(A176&gt;='Campaign Metadata'!$B$3,A176&lt;='Campaign Metadata'!$C$3),"ModelYCampaign",
IF(AND(A176&gt;='Campaign Metadata'!$B$4,A176&lt;='Campaign Metadata'!$C$4),"FSDUpdate",
IF(AND(A176&gt;='Campaign Metadata'!$B$5,A176&lt;='Campaign Metadata'!$C$5),"SustainabilityDrive","No Campaign"))))</f>
        <v>SustainabilityDrive</v>
      </c>
      <c r="J176" s="33">
        <f t="shared" si="6"/>
        <v>8.4497101083942528E-3</v>
      </c>
    </row>
    <row r="177" spans="1:10" ht="15.75" customHeight="1" x14ac:dyDescent="0.3">
      <c r="A177" s="10" t="s">
        <v>130</v>
      </c>
      <c r="B177" s="2" t="s">
        <v>5</v>
      </c>
      <c r="C177" s="9">
        <v>1957</v>
      </c>
      <c r="D177" s="9">
        <v>490</v>
      </c>
      <c r="E177" s="9">
        <v>435726</v>
      </c>
      <c r="F177" s="8">
        <v>4.7300000000000004</v>
      </c>
      <c r="G177" s="9">
        <v>15969</v>
      </c>
      <c r="H177" s="3">
        <f t="shared" si="5"/>
        <v>1467</v>
      </c>
      <c r="I177" s="20" t="str">
        <f>IF(AND(A177&gt;='Campaign Metadata'!$B$2,A177&lt;='Campaign Metadata'!$C$2),"CybertruckLaunch",
IF(AND(A177&gt;='Campaign Metadata'!$B$3,A177&lt;='Campaign Metadata'!$C$3),"ModelYCampaign",
IF(AND(A177&gt;='Campaign Metadata'!$B$4,A177&lt;='Campaign Metadata'!$C$4),"FSDUpdate",
IF(AND(A177&gt;='Campaign Metadata'!$B$5,A177&lt;='Campaign Metadata'!$C$5),"SustainabilityDrive","No Campaign"))))</f>
        <v>SustainabilityDrive</v>
      </c>
      <c r="J177" s="33">
        <f t="shared" si="6"/>
        <v>3.3667947287974553E-3</v>
      </c>
    </row>
    <row r="178" spans="1:10" ht="15.75" customHeight="1" x14ac:dyDescent="0.3">
      <c r="A178" s="10" t="s">
        <v>131</v>
      </c>
      <c r="B178" s="2" t="s">
        <v>3</v>
      </c>
      <c r="C178" s="9">
        <v>559</v>
      </c>
      <c r="D178" s="9">
        <v>392</v>
      </c>
      <c r="E178" s="9">
        <v>78789</v>
      </c>
      <c r="F178" s="8">
        <v>3.19</v>
      </c>
      <c r="G178" s="9">
        <v>2436</v>
      </c>
      <c r="H178" s="3">
        <f t="shared" si="5"/>
        <v>167</v>
      </c>
      <c r="I178" s="20" t="str">
        <f>IF(AND(A178&gt;='Campaign Metadata'!$B$2,A178&lt;='Campaign Metadata'!$C$2),"CybertruckLaunch",
IF(AND(A178&gt;='Campaign Metadata'!$B$3,A178&lt;='Campaign Metadata'!$C$3),"ModelYCampaign",
IF(AND(A178&gt;='Campaign Metadata'!$B$4,A178&lt;='Campaign Metadata'!$C$4),"FSDUpdate",
IF(AND(A178&gt;='Campaign Metadata'!$B$5,A178&lt;='Campaign Metadata'!$C$5),"SustainabilityDrive","No Campaign"))))</f>
        <v>No Campaign</v>
      </c>
      <c r="J178" s="33">
        <f t="shared" si="6"/>
        <v>2.1195852212872357E-3</v>
      </c>
    </row>
    <row r="179" spans="1:10" ht="15.75" customHeight="1" x14ac:dyDescent="0.3">
      <c r="A179" s="10" t="s">
        <v>131</v>
      </c>
      <c r="B179" s="2" t="s">
        <v>2</v>
      </c>
      <c r="C179" s="9">
        <v>1307</v>
      </c>
      <c r="D179" s="9">
        <v>278</v>
      </c>
      <c r="E179" s="9">
        <v>98596</v>
      </c>
      <c r="F179" s="8">
        <v>2.4900000000000002</v>
      </c>
      <c r="G179" s="9">
        <v>47603</v>
      </c>
      <c r="H179" s="3">
        <f t="shared" si="5"/>
        <v>1029</v>
      </c>
      <c r="I179" s="20" t="str">
        <f>IF(AND(A179&gt;='Campaign Metadata'!$B$2,A179&lt;='Campaign Metadata'!$C$2),"CybertruckLaunch",
IF(AND(A179&gt;='Campaign Metadata'!$B$3,A179&lt;='Campaign Metadata'!$C$3),"ModelYCampaign",
IF(AND(A179&gt;='Campaign Metadata'!$B$4,A179&lt;='Campaign Metadata'!$C$4),"FSDUpdate",
IF(AND(A179&gt;='Campaign Metadata'!$B$5,A179&lt;='Campaign Metadata'!$C$5),"SustainabilityDrive","No Campaign"))))</f>
        <v>No Campaign</v>
      </c>
      <c r="J179" s="33">
        <f t="shared" si="6"/>
        <v>1.0436528865268368E-2</v>
      </c>
    </row>
    <row r="180" spans="1:10" ht="15.75" customHeight="1" x14ac:dyDescent="0.3">
      <c r="A180" s="10" t="s">
        <v>131</v>
      </c>
      <c r="B180" s="2" t="s">
        <v>4</v>
      </c>
      <c r="C180" s="9">
        <v>1432</v>
      </c>
      <c r="D180" s="9">
        <v>425</v>
      </c>
      <c r="E180" s="9">
        <v>29589</v>
      </c>
      <c r="F180" s="8">
        <v>4.5</v>
      </c>
      <c r="G180" s="9">
        <v>42964</v>
      </c>
      <c r="H180" s="3">
        <f t="shared" si="5"/>
        <v>1007</v>
      </c>
      <c r="I180" s="20" t="str">
        <f>IF(AND(A180&gt;='Campaign Metadata'!$B$2,A180&lt;='Campaign Metadata'!$C$2),"CybertruckLaunch",
IF(AND(A180&gt;='Campaign Metadata'!$B$3,A180&lt;='Campaign Metadata'!$C$3),"ModelYCampaign",
IF(AND(A180&gt;='Campaign Metadata'!$B$4,A180&lt;='Campaign Metadata'!$C$4),"FSDUpdate",
IF(AND(A180&gt;='Campaign Metadata'!$B$5,A180&lt;='Campaign Metadata'!$C$5),"SustainabilityDrive","No Campaign"))))</f>
        <v>No Campaign</v>
      </c>
      <c r="J180" s="33">
        <f t="shared" si="6"/>
        <v>3.4032917638311531E-2</v>
      </c>
    </row>
    <row r="181" spans="1:10" ht="15.75" customHeight="1" x14ac:dyDescent="0.3">
      <c r="A181" s="10" t="s">
        <v>131</v>
      </c>
      <c r="B181" s="2" t="s">
        <v>5</v>
      </c>
      <c r="C181" s="9">
        <v>623</v>
      </c>
      <c r="D181" s="9">
        <v>414</v>
      </c>
      <c r="E181" s="9">
        <v>290354</v>
      </c>
      <c r="F181" s="8">
        <v>6.49</v>
      </c>
      <c r="G181" s="9">
        <v>39923</v>
      </c>
      <c r="H181" s="3">
        <f t="shared" si="5"/>
        <v>209</v>
      </c>
      <c r="I181" s="20" t="str">
        <f>IF(AND(A181&gt;='Campaign Metadata'!$B$2,A181&lt;='Campaign Metadata'!$C$2),"CybertruckLaunch",
IF(AND(A181&gt;='Campaign Metadata'!$B$3,A181&lt;='Campaign Metadata'!$C$3),"ModelYCampaign",
IF(AND(A181&gt;='Campaign Metadata'!$B$4,A181&lt;='Campaign Metadata'!$C$4),"FSDUpdate",
IF(AND(A181&gt;='Campaign Metadata'!$B$5,A181&lt;='Campaign Metadata'!$C$5),"SustainabilityDrive","No Campaign"))))</f>
        <v>No Campaign</v>
      </c>
      <c r="J181" s="33">
        <f t="shared" si="6"/>
        <v>7.1981098934404211E-4</v>
      </c>
    </row>
    <row r="182" spans="1:10" ht="15.75" customHeight="1" x14ac:dyDescent="0.3">
      <c r="A182" s="10" t="s">
        <v>132</v>
      </c>
      <c r="B182" s="2" t="s">
        <v>3</v>
      </c>
      <c r="C182" s="9">
        <v>198</v>
      </c>
      <c r="D182" s="9">
        <v>358</v>
      </c>
      <c r="E182" s="9">
        <v>66682</v>
      </c>
      <c r="F182" s="8">
        <v>6.73</v>
      </c>
      <c r="G182" s="9">
        <v>2293</v>
      </c>
      <c r="H182" s="3">
        <f t="shared" si="5"/>
        <v>-160</v>
      </c>
      <c r="I182" s="20" t="str">
        <f>IF(AND(A182&gt;='Campaign Metadata'!$B$2,A182&lt;='Campaign Metadata'!$C$2),"CybertruckLaunch",
IF(AND(A182&gt;='Campaign Metadata'!$B$3,A182&lt;='Campaign Metadata'!$C$3),"ModelYCampaign",
IF(AND(A182&gt;='Campaign Metadata'!$B$4,A182&lt;='Campaign Metadata'!$C$4),"FSDUpdate",
IF(AND(A182&gt;='Campaign Metadata'!$B$5,A182&lt;='Campaign Metadata'!$C$5),"SustainabilityDrive","No Campaign"))))</f>
        <v>No Campaign</v>
      </c>
      <c r="J182" s="33">
        <f t="shared" si="6"/>
        <v>-2.3994481269308059E-3</v>
      </c>
    </row>
    <row r="183" spans="1:10" ht="15.75" customHeight="1" x14ac:dyDescent="0.3">
      <c r="A183" s="10" t="s">
        <v>132</v>
      </c>
      <c r="B183" s="2" t="s">
        <v>2</v>
      </c>
      <c r="C183" s="9">
        <v>198</v>
      </c>
      <c r="D183" s="9">
        <v>373</v>
      </c>
      <c r="E183" s="9">
        <v>70707</v>
      </c>
      <c r="F183" s="8">
        <v>4.83</v>
      </c>
      <c r="G183" s="9">
        <v>25920</v>
      </c>
      <c r="H183" s="3">
        <f t="shared" si="5"/>
        <v>-175</v>
      </c>
      <c r="I183" s="20" t="str">
        <f>IF(AND(A183&gt;='Campaign Metadata'!$B$2,A183&lt;='Campaign Metadata'!$C$2),"CybertruckLaunch",
IF(AND(A183&gt;='Campaign Metadata'!$B$3,A183&lt;='Campaign Metadata'!$C$3),"ModelYCampaign",
IF(AND(A183&gt;='Campaign Metadata'!$B$4,A183&lt;='Campaign Metadata'!$C$4),"FSDUpdate",
IF(AND(A183&gt;='Campaign Metadata'!$B$5,A183&lt;='Campaign Metadata'!$C$5),"SustainabilityDrive","No Campaign"))))</f>
        <v>No Campaign</v>
      </c>
      <c r="J183" s="33">
        <f t="shared" si="6"/>
        <v>-2.4750024750024749E-3</v>
      </c>
    </row>
    <row r="184" spans="1:10" ht="15.75" customHeight="1" x14ac:dyDescent="0.3">
      <c r="A184" s="10" t="s">
        <v>132</v>
      </c>
      <c r="B184" s="2" t="s">
        <v>4</v>
      </c>
      <c r="C184" s="9">
        <v>353</v>
      </c>
      <c r="D184" s="9">
        <v>300</v>
      </c>
      <c r="E184" s="9">
        <v>142507</v>
      </c>
      <c r="F184" s="8">
        <v>5.3</v>
      </c>
      <c r="G184" s="9">
        <v>11035</v>
      </c>
      <c r="H184" s="3">
        <f t="shared" si="5"/>
        <v>53</v>
      </c>
      <c r="I184" s="20" t="str">
        <f>IF(AND(A184&gt;='Campaign Metadata'!$B$2,A184&lt;='Campaign Metadata'!$C$2),"CybertruckLaunch",
IF(AND(A184&gt;='Campaign Metadata'!$B$3,A184&lt;='Campaign Metadata'!$C$3),"ModelYCampaign",
IF(AND(A184&gt;='Campaign Metadata'!$B$4,A184&lt;='Campaign Metadata'!$C$4),"FSDUpdate",
IF(AND(A184&gt;='Campaign Metadata'!$B$5,A184&lt;='Campaign Metadata'!$C$5),"SustainabilityDrive","No Campaign"))))</f>
        <v>No Campaign</v>
      </c>
      <c r="J184" s="33">
        <f t="shared" si="6"/>
        <v>3.7191155522184875E-4</v>
      </c>
    </row>
    <row r="185" spans="1:10" ht="15.75" customHeight="1" x14ac:dyDescent="0.3">
      <c r="A185" s="10" t="s">
        <v>132</v>
      </c>
      <c r="B185" s="2" t="s">
        <v>5</v>
      </c>
      <c r="C185" s="9">
        <v>520</v>
      </c>
      <c r="D185" s="9">
        <v>375</v>
      </c>
      <c r="E185" s="9">
        <v>369525</v>
      </c>
      <c r="F185" s="8">
        <v>6.54</v>
      </c>
      <c r="G185" s="9">
        <v>20733</v>
      </c>
      <c r="H185" s="3">
        <f t="shared" si="5"/>
        <v>145</v>
      </c>
      <c r="I185" s="20" t="str">
        <f>IF(AND(A185&gt;='Campaign Metadata'!$B$2,A185&lt;='Campaign Metadata'!$C$2),"CybertruckLaunch",
IF(AND(A185&gt;='Campaign Metadata'!$B$3,A185&lt;='Campaign Metadata'!$C$3),"ModelYCampaign",
IF(AND(A185&gt;='Campaign Metadata'!$B$4,A185&lt;='Campaign Metadata'!$C$4),"FSDUpdate",
IF(AND(A185&gt;='Campaign Metadata'!$B$5,A185&lt;='Campaign Metadata'!$C$5),"SustainabilityDrive","No Campaign"))))</f>
        <v>No Campaign</v>
      </c>
      <c r="J185" s="33">
        <f t="shared" si="6"/>
        <v>3.9239564305527366E-4</v>
      </c>
    </row>
    <row r="186" spans="1:10" ht="15.75" customHeight="1" x14ac:dyDescent="0.3">
      <c r="A186" s="10" t="s">
        <v>133</v>
      </c>
      <c r="B186" s="2" t="s">
        <v>3</v>
      </c>
      <c r="C186" s="9">
        <v>961</v>
      </c>
      <c r="D186" s="9">
        <v>358</v>
      </c>
      <c r="E186" s="9">
        <v>62942</v>
      </c>
      <c r="F186" s="8">
        <v>6.8</v>
      </c>
      <c r="G186" s="9">
        <v>18693</v>
      </c>
      <c r="H186" s="3">
        <f t="shared" si="5"/>
        <v>603</v>
      </c>
      <c r="I186" s="20" t="str">
        <f>IF(AND(A186&gt;='Campaign Metadata'!$B$2,A186&lt;='Campaign Metadata'!$C$2),"CybertruckLaunch",
IF(AND(A186&gt;='Campaign Metadata'!$B$3,A186&lt;='Campaign Metadata'!$C$3),"ModelYCampaign",
IF(AND(A186&gt;='Campaign Metadata'!$B$4,A186&lt;='Campaign Metadata'!$C$4),"FSDUpdate",
IF(AND(A186&gt;='Campaign Metadata'!$B$5,A186&lt;='Campaign Metadata'!$C$5),"SustainabilityDrive","No Campaign"))))</f>
        <v>No Campaign</v>
      </c>
      <c r="J186" s="33">
        <f t="shared" si="6"/>
        <v>9.5802484827301332E-3</v>
      </c>
    </row>
    <row r="187" spans="1:10" ht="15.75" customHeight="1" x14ac:dyDescent="0.3">
      <c r="A187" s="10" t="s">
        <v>133</v>
      </c>
      <c r="B187" s="2" t="s">
        <v>2</v>
      </c>
      <c r="C187" s="9">
        <v>1375</v>
      </c>
      <c r="D187" s="9">
        <v>330</v>
      </c>
      <c r="E187" s="9">
        <v>377382</v>
      </c>
      <c r="F187" s="8">
        <v>2.6</v>
      </c>
      <c r="G187" s="9">
        <v>7875</v>
      </c>
      <c r="H187" s="3">
        <f t="shared" si="5"/>
        <v>1045</v>
      </c>
      <c r="I187" s="20" t="str">
        <f>IF(AND(A187&gt;='Campaign Metadata'!$B$2,A187&lt;='Campaign Metadata'!$C$2),"CybertruckLaunch",
IF(AND(A187&gt;='Campaign Metadata'!$B$3,A187&lt;='Campaign Metadata'!$C$3),"ModelYCampaign",
IF(AND(A187&gt;='Campaign Metadata'!$B$4,A187&lt;='Campaign Metadata'!$C$4),"FSDUpdate",
IF(AND(A187&gt;='Campaign Metadata'!$B$5,A187&lt;='Campaign Metadata'!$C$5),"SustainabilityDrive","No Campaign"))))</f>
        <v>No Campaign</v>
      </c>
      <c r="J187" s="33">
        <f t="shared" si="6"/>
        <v>2.7690774864725927E-3</v>
      </c>
    </row>
    <row r="188" spans="1:10" ht="15.75" customHeight="1" x14ac:dyDescent="0.3">
      <c r="A188" s="10" t="s">
        <v>133</v>
      </c>
      <c r="B188" s="2" t="s">
        <v>4</v>
      </c>
      <c r="C188" s="9">
        <v>1147</v>
      </c>
      <c r="D188" s="9">
        <v>388</v>
      </c>
      <c r="E188" s="9">
        <v>333851</v>
      </c>
      <c r="F188" s="8">
        <v>2.44</v>
      </c>
      <c r="G188" s="9">
        <v>8471</v>
      </c>
      <c r="H188" s="3">
        <f t="shared" si="5"/>
        <v>759</v>
      </c>
      <c r="I188" s="20" t="str">
        <f>IF(AND(A188&gt;='Campaign Metadata'!$B$2,A188&lt;='Campaign Metadata'!$C$2),"CybertruckLaunch",
IF(AND(A188&gt;='Campaign Metadata'!$B$3,A188&lt;='Campaign Metadata'!$C$3),"ModelYCampaign",
IF(AND(A188&gt;='Campaign Metadata'!$B$4,A188&lt;='Campaign Metadata'!$C$4),"FSDUpdate",
IF(AND(A188&gt;='Campaign Metadata'!$B$5,A188&lt;='Campaign Metadata'!$C$5),"SustainabilityDrive","No Campaign"))))</f>
        <v>No Campaign</v>
      </c>
      <c r="J188" s="33">
        <f t="shared" si="6"/>
        <v>2.2734693021737242E-3</v>
      </c>
    </row>
    <row r="189" spans="1:10" ht="15.75" customHeight="1" x14ac:dyDescent="0.3">
      <c r="A189" s="10" t="s">
        <v>133</v>
      </c>
      <c r="B189" s="2" t="s">
        <v>5</v>
      </c>
      <c r="C189" s="9">
        <v>1707</v>
      </c>
      <c r="D189" s="9">
        <v>74</v>
      </c>
      <c r="E189" s="9">
        <v>270958</v>
      </c>
      <c r="F189" s="8">
        <v>3.09</v>
      </c>
      <c r="G189" s="9">
        <v>14090</v>
      </c>
      <c r="H189" s="3">
        <f t="shared" si="5"/>
        <v>1633</v>
      </c>
      <c r="I189" s="20" t="str">
        <f>IF(AND(A189&gt;='Campaign Metadata'!$B$2,A189&lt;='Campaign Metadata'!$C$2),"CybertruckLaunch",
IF(AND(A189&gt;='Campaign Metadata'!$B$3,A189&lt;='Campaign Metadata'!$C$3),"ModelYCampaign",
IF(AND(A189&gt;='Campaign Metadata'!$B$4,A189&lt;='Campaign Metadata'!$C$4),"FSDUpdate",
IF(AND(A189&gt;='Campaign Metadata'!$B$5,A189&lt;='Campaign Metadata'!$C$5),"SustainabilityDrive","No Campaign"))))</f>
        <v>No Campaign</v>
      </c>
      <c r="J189" s="33">
        <f t="shared" si="6"/>
        <v>6.0267642955734836E-3</v>
      </c>
    </row>
    <row r="190" spans="1:10" ht="15.75" customHeight="1" x14ac:dyDescent="0.3">
      <c r="A190" s="10" t="s">
        <v>134</v>
      </c>
      <c r="B190" s="2" t="s">
        <v>3</v>
      </c>
      <c r="C190" s="9">
        <v>1693</v>
      </c>
      <c r="D190" s="9">
        <v>154</v>
      </c>
      <c r="E190" s="9">
        <v>445944</v>
      </c>
      <c r="F190" s="8">
        <v>5.69</v>
      </c>
      <c r="G190" s="9">
        <v>14216</v>
      </c>
      <c r="H190" s="3">
        <f t="shared" si="5"/>
        <v>1539</v>
      </c>
      <c r="I190" s="20" t="str">
        <f>IF(AND(A190&gt;='Campaign Metadata'!$B$2,A190&lt;='Campaign Metadata'!$C$2),"CybertruckLaunch",
IF(AND(A190&gt;='Campaign Metadata'!$B$3,A190&lt;='Campaign Metadata'!$C$3),"ModelYCampaign",
IF(AND(A190&gt;='Campaign Metadata'!$B$4,A190&lt;='Campaign Metadata'!$C$4),"FSDUpdate",
IF(AND(A190&gt;='Campaign Metadata'!$B$5,A190&lt;='Campaign Metadata'!$C$5),"SustainabilityDrive","No Campaign"))))</f>
        <v>No Campaign</v>
      </c>
      <c r="J190" s="33">
        <f t="shared" si="6"/>
        <v>3.4511059684624078E-3</v>
      </c>
    </row>
    <row r="191" spans="1:10" ht="15.75" customHeight="1" x14ac:dyDescent="0.3">
      <c r="A191" s="10" t="s">
        <v>134</v>
      </c>
      <c r="B191" s="2" t="s">
        <v>2</v>
      </c>
      <c r="C191" s="9">
        <v>833</v>
      </c>
      <c r="D191" s="9">
        <v>380</v>
      </c>
      <c r="E191" s="9">
        <v>224830</v>
      </c>
      <c r="F191" s="8">
        <v>3.86</v>
      </c>
      <c r="G191" s="9">
        <v>3582</v>
      </c>
      <c r="H191" s="3">
        <f t="shared" si="5"/>
        <v>453</v>
      </c>
      <c r="I191" s="20" t="str">
        <f>IF(AND(A191&gt;='Campaign Metadata'!$B$2,A191&lt;='Campaign Metadata'!$C$2),"CybertruckLaunch",
IF(AND(A191&gt;='Campaign Metadata'!$B$3,A191&lt;='Campaign Metadata'!$C$3),"ModelYCampaign",
IF(AND(A191&gt;='Campaign Metadata'!$B$4,A191&lt;='Campaign Metadata'!$C$4),"FSDUpdate",
IF(AND(A191&gt;='Campaign Metadata'!$B$5,A191&lt;='Campaign Metadata'!$C$5),"SustainabilityDrive","No Campaign"))))</f>
        <v>No Campaign</v>
      </c>
      <c r="J191" s="33">
        <f t="shared" si="6"/>
        <v>2.014855668727483E-3</v>
      </c>
    </row>
    <row r="192" spans="1:10" ht="15.75" customHeight="1" x14ac:dyDescent="0.3">
      <c r="A192" s="10" t="s">
        <v>134</v>
      </c>
      <c r="B192" s="2" t="s">
        <v>4</v>
      </c>
      <c r="C192" s="9">
        <v>1222</v>
      </c>
      <c r="D192" s="9">
        <v>274</v>
      </c>
      <c r="E192" s="9">
        <v>487289</v>
      </c>
      <c r="F192" s="8">
        <v>3.16</v>
      </c>
      <c r="G192" s="9">
        <v>32500</v>
      </c>
      <c r="H192" s="3">
        <f t="shared" si="5"/>
        <v>948</v>
      </c>
      <c r="I192" s="20" t="str">
        <f>IF(AND(A192&gt;='Campaign Metadata'!$B$2,A192&lt;='Campaign Metadata'!$C$2),"CybertruckLaunch",
IF(AND(A192&gt;='Campaign Metadata'!$B$3,A192&lt;='Campaign Metadata'!$C$3),"ModelYCampaign",
IF(AND(A192&gt;='Campaign Metadata'!$B$4,A192&lt;='Campaign Metadata'!$C$4),"FSDUpdate",
IF(AND(A192&gt;='Campaign Metadata'!$B$5,A192&lt;='Campaign Metadata'!$C$5),"SustainabilityDrive","No Campaign"))))</f>
        <v>No Campaign</v>
      </c>
      <c r="J192" s="33">
        <f t="shared" si="6"/>
        <v>1.9454574184929272E-3</v>
      </c>
    </row>
    <row r="193" spans="1:10" ht="15.75" customHeight="1" x14ac:dyDescent="0.3">
      <c r="A193" s="10" t="s">
        <v>134</v>
      </c>
      <c r="B193" s="2" t="s">
        <v>5</v>
      </c>
      <c r="C193" s="9">
        <v>777</v>
      </c>
      <c r="D193" s="9">
        <v>140</v>
      </c>
      <c r="E193" s="9">
        <v>11435</v>
      </c>
      <c r="F193" s="8">
        <v>1.6</v>
      </c>
      <c r="G193" s="9">
        <v>6832</v>
      </c>
      <c r="H193" s="3">
        <f t="shared" si="5"/>
        <v>637</v>
      </c>
      <c r="I193" s="20" t="str">
        <f>IF(AND(A193&gt;='Campaign Metadata'!$B$2,A193&lt;='Campaign Metadata'!$C$2),"CybertruckLaunch",
IF(AND(A193&gt;='Campaign Metadata'!$B$3,A193&lt;='Campaign Metadata'!$C$3),"ModelYCampaign",
IF(AND(A193&gt;='Campaign Metadata'!$B$4,A193&lt;='Campaign Metadata'!$C$4),"FSDUpdate",
IF(AND(A193&gt;='Campaign Metadata'!$B$5,A193&lt;='Campaign Metadata'!$C$5),"SustainabilityDrive","No Campaign"))))</f>
        <v>No Campaign</v>
      </c>
      <c r="J193" s="33">
        <f t="shared" si="6"/>
        <v>5.5706165282028861E-2</v>
      </c>
    </row>
    <row r="194" spans="1:10" ht="15.75" customHeight="1" x14ac:dyDescent="0.3">
      <c r="A194" s="10" t="s">
        <v>135</v>
      </c>
      <c r="B194" s="2" t="s">
        <v>3</v>
      </c>
      <c r="C194" s="9">
        <v>1957</v>
      </c>
      <c r="D194" s="9">
        <v>76</v>
      </c>
      <c r="E194" s="9">
        <v>447902</v>
      </c>
      <c r="F194" s="8">
        <v>6.09</v>
      </c>
      <c r="G194" s="9">
        <v>33381</v>
      </c>
      <c r="H194" s="3">
        <f t="shared" si="5"/>
        <v>1881</v>
      </c>
      <c r="I194" s="20" t="str">
        <f>IF(AND(A194&gt;='Campaign Metadata'!$B$2,A194&lt;='Campaign Metadata'!$C$2),"CybertruckLaunch",
IF(AND(A194&gt;='Campaign Metadata'!$B$3,A194&lt;='Campaign Metadata'!$C$3),"ModelYCampaign",
IF(AND(A194&gt;='Campaign Metadata'!$B$4,A194&lt;='Campaign Metadata'!$C$4),"FSDUpdate",
IF(AND(A194&gt;='Campaign Metadata'!$B$5,A194&lt;='Campaign Metadata'!$C$5),"SustainabilityDrive","No Campaign"))))</f>
        <v>No Campaign</v>
      </c>
      <c r="J194" s="33">
        <f t="shared" si="6"/>
        <v>4.1995793722733989E-3</v>
      </c>
    </row>
    <row r="195" spans="1:10" ht="15.75" customHeight="1" x14ac:dyDescent="0.3">
      <c r="A195" s="10" t="s">
        <v>135</v>
      </c>
      <c r="B195" s="2" t="s">
        <v>2</v>
      </c>
      <c r="C195" s="9">
        <v>405</v>
      </c>
      <c r="D195" s="9">
        <v>66</v>
      </c>
      <c r="E195" s="9">
        <v>418696</v>
      </c>
      <c r="F195" s="8">
        <v>5.59</v>
      </c>
      <c r="G195" s="9">
        <v>48419</v>
      </c>
      <c r="H195" s="3">
        <f t="shared" ref="H195:H201" si="7">C195-D195</f>
        <v>339</v>
      </c>
      <c r="I195" s="20" t="str">
        <f>IF(AND(A195&gt;='Campaign Metadata'!$B$2,A195&lt;='Campaign Metadata'!$C$2),"CybertruckLaunch",
IF(AND(A195&gt;='Campaign Metadata'!$B$3,A195&lt;='Campaign Metadata'!$C$3),"ModelYCampaign",
IF(AND(A195&gt;='Campaign Metadata'!$B$4,A195&lt;='Campaign Metadata'!$C$4),"FSDUpdate",
IF(AND(A195&gt;='Campaign Metadata'!$B$5,A195&lt;='Campaign Metadata'!$C$5),"SustainabilityDrive","No Campaign"))))</f>
        <v>No Campaign</v>
      </c>
      <c r="J195" s="33">
        <f t="shared" si="6"/>
        <v>8.0965664826031301E-4</v>
      </c>
    </row>
    <row r="196" spans="1:10" ht="15.75" customHeight="1" x14ac:dyDescent="0.3">
      <c r="A196" s="10" t="s">
        <v>135</v>
      </c>
      <c r="B196" s="2" t="s">
        <v>4</v>
      </c>
      <c r="C196" s="9">
        <v>1581</v>
      </c>
      <c r="D196" s="9">
        <v>71</v>
      </c>
      <c r="E196" s="9">
        <v>484364</v>
      </c>
      <c r="F196" s="8">
        <v>3.55</v>
      </c>
      <c r="G196" s="9">
        <v>16149</v>
      </c>
      <c r="H196" s="3">
        <f t="shared" si="7"/>
        <v>1510</v>
      </c>
      <c r="I196" s="20" t="str">
        <f>IF(AND(A196&gt;='Campaign Metadata'!$B$2,A196&lt;='Campaign Metadata'!$C$2),"CybertruckLaunch",
IF(AND(A196&gt;='Campaign Metadata'!$B$3,A196&lt;='Campaign Metadata'!$C$3),"ModelYCampaign",
IF(AND(A196&gt;='Campaign Metadata'!$B$4,A196&lt;='Campaign Metadata'!$C$4),"FSDUpdate",
IF(AND(A196&gt;='Campaign Metadata'!$B$5,A196&lt;='Campaign Metadata'!$C$5),"SustainabilityDrive","No Campaign"))))</f>
        <v>No Campaign</v>
      </c>
      <c r="J196" s="33">
        <f t="shared" si="6"/>
        <v>3.1174901520344203E-3</v>
      </c>
    </row>
    <row r="197" spans="1:10" ht="15.75" customHeight="1" x14ac:dyDescent="0.3">
      <c r="A197" s="10" t="s">
        <v>135</v>
      </c>
      <c r="B197" s="2" t="s">
        <v>5</v>
      </c>
      <c r="C197" s="9">
        <v>1035</v>
      </c>
      <c r="D197" s="9">
        <v>171</v>
      </c>
      <c r="E197" s="9">
        <v>148477</v>
      </c>
      <c r="F197" s="8">
        <v>5.21</v>
      </c>
      <c r="G197" s="9">
        <v>7541</v>
      </c>
      <c r="H197" s="3">
        <f t="shared" si="7"/>
        <v>864</v>
      </c>
      <c r="I197" s="20" t="str">
        <f>IF(AND(A197&gt;='Campaign Metadata'!$B$2,A197&lt;='Campaign Metadata'!$C$2),"CybertruckLaunch",
IF(AND(A197&gt;='Campaign Metadata'!$B$3,A197&lt;='Campaign Metadata'!$C$3),"ModelYCampaign",
IF(AND(A197&gt;='Campaign Metadata'!$B$4,A197&lt;='Campaign Metadata'!$C$4),"FSDUpdate",
IF(AND(A197&gt;='Campaign Metadata'!$B$5,A197&lt;='Campaign Metadata'!$C$5),"SustainabilityDrive","No Campaign"))))</f>
        <v>No Campaign</v>
      </c>
      <c r="J197" s="33">
        <f t="shared" si="6"/>
        <v>5.8190830903102836E-3</v>
      </c>
    </row>
    <row r="198" spans="1:10" ht="15.75" customHeight="1" x14ac:dyDescent="0.3">
      <c r="A198" s="10" t="s">
        <v>136</v>
      </c>
      <c r="B198" s="2" t="s">
        <v>3</v>
      </c>
      <c r="C198" s="9">
        <v>1765</v>
      </c>
      <c r="D198" s="9">
        <v>109</v>
      </c>
      <c r="E198" s="9">
        <v>468301</v>
      </c>
      <c r="F198" s="8">
        <v>1.82</v>
      </c>
      <c r="G198" s="9">
        <v>20042</v>
      </c>
      <c r="H198" s="3">
        <f t="shared" si="7"/>
        <v>1656</v>
      </c>
      <c r="I198" s="20" t="str">
        <f>IF(AND(A198&gt;='Campaign Metadata'!$B$2,A198&lt;='Campaign Metadata'!$C$2),"CybertruckLaunch",
IF(AND(A198&gt;='Campaign Metadata'!$B$3,A198&lt;='Campaign Metadata'!$C$3),"ModelYCampaign",
IF(AND(A198&gt;='Campaign Metadata'!$B$4,A198&lt;='Campaign Metadata'!$C$4),"FSDUpdate",
IF(AND(A198&gt;='Campaign Metadata'!$B$5,A198&lt;='Campaign Metadata'!$C$5),"SustainabilityDrive","No Campaign"))))</f>
        <v>No Campaign</v>
      </c>
      <c r="J198" s="33">
        <f t="shared" si="6"/>
        <v>3.5361871958419907E-3</v>
      </c>
    </row>
    <row r="199" spans="1:10" ht="15.75" customHeight="1" x14ac:dyDescent="0.3">
      <c r="A199" s="10" t="s">
        <v>136</v>
      </c>
      <c r="B199" s="2" t="s">
        <v>2</v>
      </c>
      <c r="C199" s="9">
        <v>837</v>
      </c>
      <c r="D199" s="9">
        <v>430</v>
      </c>
      <c r="E199" s="9">
        <v>364820</v>
      </c>
      <c r="F199" s="8">
        <v>4</v>
      </c>
      <c r="G199" s="9">
        <v>49400</v>
      </c>
      <c r="H199" s="3">
        <f t="shared" si="7"/>
        <v>407</v>
      </c>
      <c r="I199" s="20" t="str">
        <f>IF(AND(A199&gt;='Campaign Metadata'!$B$2,A199&lt;='Campaign Metadata'!$C$2),"CybertruckLaunch",
IF(AND(A199&gt;='Campaign Metadata'!$B$3,A199&lt;='Campaign Metadata'!$C$3),"ModelYCampaign",
IF(AND(A199&gt;='Campaign Metadata'!$B$4,A199&lt;='Campaign Metadata'!$C$4),"FSDUpdate",
IF(AND(A199&gt;='Campaign Metadata'!$B$5,A199&lt;='Campaign Metadata'!$C$5),"SustainabilityDrive","No Campaign"))))</f>
        <v>No Campaign</v>
      </c>
      <c r="J199" s="33">
        <f t="shared" si="6"/>
        <v>1.1156186612576065E-3</v>
      </c>
    </row>
    <row r="200" spans="1:10" ht="15.75" customHeight="1" x14ac:dyDescent="0.3">
      <c r="A200" s="10" t="s">
        <v>136</v>
      </c>
      <c r="B200" s="2" t="s">
        <v>4</v>
      </c>
      <c r="C200" s="9">
        <v>337</v>
      </c>
      <c r="D200" s="9">
        <v>68</v>
      </c>
      <c r="E200" s="9">
        <v>456298</v>
      </c>
      <c r="F200" s="8">
        <v>7.57</v>
      </c>
      <c r="G200" s="9">
        <v>4007</v>
      </c>
      <c r="H200" s="3">
        <f t="shared" si="7"/>
        <v>269</v>
      </c>
      <c r="I200" s="20" t="str">
        <f>IF(AND(A200&gt;='Campaign Metadata'!$B$2,A200&lt;='Campaign Metadata'!$C$2),"CybertruckLaunch",
IF(AND(A200&gt;='Campaign Metadata'!$B$3,A200&lt;='Campaign Metadata'!$C$3),"ModelYCampaign",
IF(AND(A200&gt;='Campaign Metadata'!$B$4,A200&lt;='Campaign Metadata'!$C$4),"FSDUpdate",
IF(AND(A200&gt;='Campaign Metadata'!$B$5,A200&lt;='Campaign Metadata'!$C$5),"SustainabilityDrive","No Campaign"))))</f>
        <v>No Campaign</v>
      </c>
      <c r="J200" s="33">
        <f t="shared" si="6"/>
        <v>5.8952701962314107E-4</v>
      </c>
    </row>
    <row r="201" spans="1:10" ht="15.75" customHeight="1" x14ac:dyDescent="0.3">
      <c r="A201" s="10" t="s">
        <v>136</v>
      </c>
      <c r="B201" s="2" t="s">
        <v>5</v>
      </c>
      <c r="C201" s="9">
        <v>119</v>
      </c>
      <c r="D201" s="9">
        <v>456</v>
      </c>
      <c r="E201" s="9">
        <v>82558</v>
      </c>
      <c r="F201" s="8">
        <v>6.81</v>
      </c>
      <c r="G201" s="9">
        <v>12174</v>
      </c>
      <c r="H201" s="3">
        <f t="shared" si="7"/>
        <v>-337</v>
      </c>
      <c r="I201" s="20" t="str">
        <f>IF(AND(A201&gt;='Campaign Metadata'!$B$2,A201&lt;='Campaign Metadata'!$C$2),"CybertruckLaunch",
IF(AND(A201&gt;='Campaign Metadata'!$B$3,A201&lt;='Campaign Metadata'!$C$3),"ModelYCampaign",
IF(AND(A201&gt;='Campaign Metadata'!$B$4,A201&lt;='Campaign Metadata'!$C$4),"FSDUpdate",
IF(AND(A201&gt;='Campaign Metadata'!$B$5,A201&lt;='Campaign Metadata'!$C$5),"SustainabilityDrive","No Campaign"))))</f>
        <v>No Campaign</v>
      </c>
      <c r="J201" s="33">
        <f t="shared" si="6"/>
        <v>-4.0819787301048958E-3</v>
      </c>
    </row>
    <row r="202" spans="1:10" ht="15.75" customHeight="1" x14ac:dyDescent="0.3"/>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B2" sqref="B2"/>
    </sheetView>
  </sheetViews>
  <sheetFormatPr defaultColWidth="30.88671875" defaultRowHeight="15" customHeight="1" x14ac:dyDescent="0.3"/>
  <sheetData>
    <row r="1" spans="1:7" ht="14.4" x14ac:dyDescent="0.3">
      <c r="A1" s="1" t="s">
        <v>21</v>
      </c>
      <c r="B1" s="1" t="s">
        <v>639</v>
      </c>
      <c r="C1" s="1" t="s">
        <v>640</v>
      </c>
      <c r="D1" s="1" t="s">
        <v>641</v>
      </c>
      <c r="E1" s="1" t="s">
        <v>642</v>
      </c>
      <c r="F1" s="1" t="s">
        <v>643</v>
      </c>
      <c r="G1" s="1" t="s">
        <v>644</v>
      </c>
    </row>
    <row r="2" spans="1:7" ht="14.4" x14ac:dyDescent="0.3">
      <c r="A2" s="2" t="s">
        <v>67</v>
      </c>
      <c r="B2" s="10" t="s">
        <v>645</v>
      </c>
      <c r="C2" s="10" t="s">
        <v>92</v>
      </c>
      <c r="D2" s="2" t="s">
        <v>646</v>
      </c>
      <c r="E2" s="9">
        <v>150000</v>
      </c>
      <c r="F2" s="2" t="s">
        <v>647</v>
      </c>
      <c r="G2" s="2" t="s">
        <v>648</v>
      </c>
    </row>
    <row r="3" spans="1:7" ht="14.4" x14ac:dyDescent="0.3">
      <c r="A3" s="2" t="s">
        <v>69</v>
      </c>
      <c r="B3" s="10" t="s">
        <v>649</v>
      </c>
      <c r="C3" s="10" t="s">
        <v>284</v>
      </c>
      <c r="D3" s="2" t="s">
        <v>650</v>
      </c>
      <c r="E3" s="9">
        <v>200000</v>
      </c>
      <c r="F3" s="2" t="s">
        <v>651</v>
      </c>
      <c r="G3" s="2" t="s">
        <v>652</v>
      </c>
    </row>
    <row r="4" spans="1:7" ht="14.4" x14ac:dyDescent="0.3">
      <c r="A4" s="2" t="s">
        <v>68</v>
      </c>
      <c r="B4" s="10" t="s">
        <v>653</v>
      </c>
      <c r="C4" s="10" t="s">
        <v>297</v>
      </c>
      <c r="D4" s="2" t="s">
        <v>654</v>
      </c>
      <c r="E4" s="9">
        <v>250000</v>
      </c>
      <c r="F4" s="2" t="s">
        <v>655</v>
      </c>
      <c r="G4" s="2" t="s">
        <v>38</v>
      </c>
    </row>
    <row r="5" spans="1:7" ht="14.4" x14ac:dyDescent="0.3">
      <c r="A5" s="2" t="s">
        <v>70</v>
      </c>
      <c r="B5" s="10" t="s">
        <v>656</v>
      </c>
      <c r="C5" s="10" t="s">
        <v>130</v>
      </c>
      <c r="D5" s="2" t="s">
        <v>657</v>
      </c>
      <c r="E5" s="9">
        <v>180000</v>
      </c>
      <c r="F5" s="2" t="s">
        <v>658</v>
      </c>
      <c r="G5" s="2" t="s">
        <v>659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Engagement Analysis Task-2</vt:lpstr>
      <vt:lpstr>Platform Analysis task-3</vt:lpstr>
      <vt:lpstr>Hashtag &amp; Content Strategy T-4</vt:lpstr>
      <vt:lpstr>Campaign Effectiveness T-5</vt:lpstr>
      <vt:lpstr>Follower Retension Task-6</vt:lpstr>
      <vt:lpstr>Posts</vt:lpstr>
      <vt:lpstr>Engagement Summary</vt:lpstr>
      <vt:lpstr>Campaign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SURAJ SINGHAL</cp:lastModifiedBy>
  <cp:revision/>
  <dcterms:created xsi:type="dcterms:W3CDTF">2026-03-08T09:21:33Z</dcterms:created>
  <dcterms:modified xsi:type="dcterms:W3CDTF">2026-03-19T10:13:50Z</dcterms:modified>
  <cp:category/>
  <cp:contentStatus/>
</cp:coreProperties>
</file>